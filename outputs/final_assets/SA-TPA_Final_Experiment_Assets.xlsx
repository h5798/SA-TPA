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7c37a8e71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2255b485d5452d"/>
    <x:sheet xmlns:r="http://schemas.openxmlformats.org/officeDocument/2006/relationships" name="Office31 Main" sheetId="2" r:id="Rcbe87ce97d594ee6"/>
    <x:sheet xmlns:r="http://schemas.openxmlformats.org/officeDocument/2006/relationships" name="OfficeHome Main" sheetId="3" r:id="R578a9b1f5e854b31"/>
    <x:sheet xmlns:r="http://schemas.openxmlformats.org/officeDocument/2006/relationships" name="Backbone" sheetId="4" r:id="Rca94243a8172434f"/>
    <x:sheet xmlns:r="http://schemas.openxmlformats.org/officeDocument/2006/relationships" name="Ablations" sheetId="5" r:id="Ra75bdba5448943c4"/>
    <x:sheet xmlns:r="http://schemas.openxmlformats.org/officeDocument/2006/relationships" name="Sensitivity" sheetId="6" r:id="Ra06054425e2d4879"/>
    <x:sheet xmlns:r="http://schemas.openxmlformats.org/officeDocument/2006/relationships" name="Efficiency" sheetId="7" r:id="R4903aff8abf84b1d"/>
    <x:sheet xmlns:r="http://schemas.openxmlformats.org/officeDocument/2006/relationships" name="Bootstrap" sheetId="8" r:id="R352821ab49e94296"/>
    <x:sheet xmlns:r="http://schemas.openxmlformats.org/officeDocument/2006/relationships" name="Design Validation" sheetId="9" r:id="R83334f0c709a4739"/>
    <x:sheet xmlns:r="http://schemas.openxmlformats.org/officeDocument/2006/relationships" name="Baseline Settings" sheetId="10" r:id="R6a54e436d51d4096"/>
    <x:sheet xmlns:r="http://schemas.openxmlformats.org/officeDocument/2006/relationships" name="Sources" sheetId="11" r:id="R96bcb91488a6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34E4A"/>
      <x:name val="Carlito"/>
    </x:font>
    <x:font>
      <x:b/>
      <x:sz val="18"/>
      <x:color rgb="FF0F172A"/>
      <x:name val="Carlito"/>
    </x:font>
    <x:font>
      <x:b/>
      <x:sz val="11"/>
      <x:color rgb="FFFFFFFF"/>
      <x:name val="Carlito"/>
    </x:font>
    <x:font>
      <x:sz val="8"/>
      <x:color rgb="FF0F172A"/>
      <x:name val="Carlito"/>
    </x:font>
    <x:font>
      <x:b/>
      <x:sz val="15"/>
      <x:color rgb="FFFFFFFF"/>
      <x:name val="Carlito"/>
    </x:font>
    <x:font>
      <x:i/>
      <x:sz val="9"/>
      <x:color rgb="FF0F172A"/>
      <x:name val="Carlito"/>
    </x:font>
    <x:font>
      <x:sz val="9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D1FAE5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4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0" fontId="8" fillId="0" borderId="11" xfId="0" applyNumberFormat="1" applyFont="1" applyFill="1" applyBorder="1" applyAlignment="1">
      <x:alignment vertical="center"/>
    </x:xf>
    <x:xf numFmtId="0" fontId="8" fillId="0" borderId="12" xfId="0" applyNumberFormat="1" applyFont="1" applyFill="1" applyBorder="1" applyAlignment="1">
      <x:alignment vertical="center"/>
    </x:xf>
    <x:xf numFmtId="200" fontId="8" fillId="0" borderId="5" xfId="0" applyNumberFormat="1" applyFont="1" applyFill="1" applyBorder="1" applyAlignment="1">
      <x:alignment vertical="center"/>
    </x:xf>
    <x:xf numFmtId="200" fontId="8" fillId="0" borderId="8" xfId="0" applyNumberFormat="1" applyFont="1" applyFill="1" applyBorder="1" applyAlignment="1">
      <x:alignment vertical="center"/>
    </x:xf>
    <x:xf numFmtId="200" fontId="8" fillId="0" borderId="11" xfId="0" applyNumberFormat="1" applyFont="1" applyFill="1" applyBorder="1" applyAlignment="1">
      <x:alignment vertical="center"/>
    </x:xf>
    <x:xf numFmtId="200" fontId="8" fillId="0" borderId="5" xfId="0" applyNumberFormat="1" applyFont="1" applyFill="1" applyBorder="1" applyAlignment="1">
      <x:alignment horizontal="right" vertical="center"/>
    </x:xf>
    <x:xf numFmtId="200" fontId="8" fillId="0" borderId="8" xfId="0" applyNumberFormat="1" applyFont="1" applyFill="1" applyBorder="1" applyAlignment="1">
      <x:alignment horizontal="right" vertical="center"/>
    </x:xf>
    <x:xf numFmtId="200" fontId="8" fillId="0" borderId="11" xfId="0" applyNumberFormat="1" applyFont="1" applyFill="1" applyBorder="1" applyAlignment="1">
      <x:alignment horizontal="right" vertical="center"/>
    </x:xf>
    <x:xf numFmtId="200" fontId="8" fillId="0" borderId="6" xfId="0" applyNumberFormat="1" applyFont="1" applyFill="1" applyBorder="1" applyAlignment="1">
      <x:alignment vertical="center"/>
    </x:xf>
    <x:xf numFmtId="200" fontId="8" fillId="0" borderId="9" xfId="0" applyNumberFormat="1" applyFont="1" applyFill="1" applyBorder="1" applyAlignment="1">
      <x:alignment vertical="center"/>
    </x:xf>
    <x:xf numFmtId="200" fontId="8" fillId="0" borderId="12" xfId="0" applyNumberFormat="1" applyFont="1" applyFill="1" applyBorder="1" applyAlignment="1">
      <x:alignment vertical="center"/>
    </x:xf>
    <x:xf numFmtId="200" fontId="8" fillId="0" borderId="6" xfId="0" applyNumberFormat="1" applyFont="1" applyFill="1" applyBorder="1" applyAlignment="1">
      <x:alignment horizontal="right" vertical="center"/>
    </x:xf>
    <x:xf numFmtId="200" fontId="8" fillId="0" borderId="9" xfId="0" applyNumberFormat="1" applyFont="1" applyFill="1" applyBorder="1" applyAlignment="1">
      <x:alignment horizontal="right" vertical="center"/>
    </x:xf>
    <x:xf numFmtId="200" fontId="8" fillId="0" borderId="12" xfId="0" applyNumberFormat="1" applyFont="1" applyFill="1" applyBorder="1" applyAlignment="1">
      <x:alignment horizontal="righ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8" fillId="0" borderId="6" xfId="0" applyNumberFormat="1" applyFont="1" applyFill="1" applyBorder="1" applyAlignment="1">
      <x:alignment vertical="center"/>
    </x:xf>
    <x:xf numFmtId="201" fontId="8" fillId="0" borderId="9" xfId="0" applyNumberFormat="1" applyFont="1" applyFill="1" applyBorder="1" applyAlignment="1">
      <x:alignment vertical="center"/>
    </x:xf>
    <x:xf numFmtId="201" fontId="8" fillId="0" borderId="12" xfId="0" applyNumberFormat="1" applyFont="1" applyFill="1" applyBorder="1" applyAlignment="1">
      <x:alignment vertical="center"/>
    </x:xf>
    <x:xf numFmtId="201" fontId="8" fillId="0" borderId="6" xfId="0" applyNumberFormat="1" applyFont="1" applyFill="1" applyBorder="1" applyAlignment="1">
      <x:alignment horizontal="right" vertical="center"/>
    </x:xf>
    <x:xf numFmtId="201" fontId="8" fillId="0" borderId="9" xfId="0" applyNumberFormat="1" applyFont="1" applyFill="1" applyBorder="1" applyAlignment="1">
      <x:alignment horizontal="right" vertical="center"/>
    </x:xf>
    <x:xf numFmtId="201" fontId="8" fillId="0" borderId="12" xfId="0" applyNumberFormat="1" applyFont="1" applyFill="1" applyBorder="1" applyAlignment="1">
      <x:alignment horizontal="right" vertical="center"/>
    </x:xf>
    <x:xf numFmtId="201" fontId="8" fillId="0" borderId="5" xfId="0" applyNumberFormat="1" applyFont="1" applyFill="1" applyBorder="1" applyAlignment="1">
      <x:alignment vertical="center"/>
    </x:xf>
    <x:xf numFmtId="201" fontId="8" fillId="0" borderId="8" xfId="0" applyNumberFormat="1" applyFont="1" applyFill="1" applyBorder="1" applyAlignment="1">
      <x:alignment vertical="center"/>
    </x:xf>
    <x:xf numFmtId="201" fontId="8" fillId="0" borderId="11" xfId="0" applyNumberFormat="1" applyFont="1" applyFill="1" applyBorder="1" applyAlignment="1">
      <x:alignment vertical="center"/>
    </x:xf>
    <x:xf numFmtId="201" fontId="8" fillId="0" borderId="5" xfId="0" applyNumberFormat="1" applyFont="1" applyFill="1" applyBorder="1" applyAlignment="1">
      <x:alignment horizontal="right" vertical="center"/>
    </x:xf>
    <x:xf numFmtId="201" fontId="8" fillId="0" borderId="8" xfId="0" applyNumberFormat="1" applyFont="1" applyFill="1" applyBorder="1" applyAlignment="1">
      <x:alignment horizontal="right" vertical="center"/>
    </x:xf>
    <x:xf numFmtId="201" fontId="8" fillId="0" borderId="11" xfId="0" applyNumberFormat="1" applyFont="1" applyFill="1" applyBorder="1" applyAlignment="1">
      <x:alignment horizontal="righ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c3996c000449b" /><Relationship Type="http://schemas.openxmlformats.org/officeDocument/2006/relationships/theme" Target="/xl/theme/theme1.xml" Id="Reee521ca3b73425e" /><Relationship Type="http://schemas.microsoft.com/office/2022/11/relationships/FeaturePropertyBag" Target="/xl/featurePropertyBag/featurePropertyBag.xml" Id="R56315f703a9d46c7" /><Relationship Type="http://schemas.openxmlformats.org/officeDocument/2006/relationships/sharedStrings" Target="/xl/sharedStrings.xml" Id="Ree0eab3c65d84e3f" /><Relationship Type="http://schemas.openxmlformats.org/officeDocument/2006/relationships/worksheet" Target="/xl/worksheets/sheet1.xml" Id="Rf72255b485d5452d" /><Relationship Type="http://schemas.openxmlformats.org/officeDocument/2006/relationships/worksheet" Target="/xl/worksheets/sheet2.xml" Id="Rcbe87ce97d594ee6" /><Relationship Type="http://schemas.openxmlformats.org/officeDocument/2006/relationships/worksheet" Target="/xl/worksheets/sheet3.xml" Id="R578a9b1f5e854b31" /><Relationship Type="http://schemas.openxmlformats.org/officeDocument/2006/relationships/worksheet" Target="/xl/worksheets/sheet4.xml" Id="Rca94243a8172434f" /><Relationship Type="http://schemas.openxmlformats.org/officeDocument/2006/relationships/worksheet" Target="/xl/worksheets/sheet5.xml" Id="Ra75bdba5448943c4" /><Relationship Type="http://schemas.openxmlformats.org/officeDocument/2006/relationships/worksheet" Target="/xl/worksheets/sheet6.xml" Id="Ra06054425e2d4879" /><Relationship Type="http://schemas.openxmlformats.org/officeDocument/2006/relationships/worksheet" Target="/xl/worksheets/sheet7.xml" Id="R4903aff8abf84b1d" /><Relationship Type="http://schemas.openxmlformats.org/officeDocument/2006/relationships/worksheet" Target="/xl/worksheets/sheet8.xml" Id="R352821ab49e94296" /><Relationship Type="http://schemas.openxmlformats.org/officeDocument/2006/relationships/worksheet" Target="/xl/worksheets/sheet9.xml" Id="R83334f0c709a4739" /><Relationship Type="http://schemas.openxmlformats.org/officeDocument/2006/relationships/worksheet" Target="/xl/worksheets/sheet10.xml" Id="R6a54e436d51d4096" /><Relationship Type="http://schemas.openxmlformats.org/officeDocument/2006/relationships/worksheet" Target="/xl/worksheets/sheet11.xml" Id="R96bcb91488a647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e72e18c76d47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accuracy by benchmark (%)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Office-31</c:v>
          </c:tx>
          <c:cat>
            <c:strRef>
              <c:f>'Summary'!$A$9:$A$14</c:f>
              <c:strCache>
                <c:ptCount val="0"/>
              </c:strCache>
            </c:strRef>
          </c:cat>
          <c:val>
            <c:numRef>
              <c:f>'Summary'!$B$9:$B$14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Office-Home</c:v>
          </c:tx>
          <c:cat>
            <c:strRef>
              <c:f>'Summary'!$A$9:$A$14</c:f>
              <c:strCache>
                <c:ptCount val="0"/>
              </c:strCache>
            </c:strRef>
          </c:cat>
          <c:val>
            <c:numRef>
              <c:f>'Summary'!$C$9:$C$14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e72e18c76d478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9dbcd9ea544f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SA-TPA Final Experiment Assets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Office-31 SA-TPA</x:v>
      </x:c>
      <x:c r="B4" s="7"/>
      <x:c r="C4" s="7" t="str">
        <x:v>Office-31 gain vs Prompt</x:v>
      </x:c>
      <x:c r="D4" s="7"/>
      <x:c r="E4" s="7" t="str">
        <x:v>Office-Home SA-TPA</x:v>
      </x:c>
      <x:c r="F4" s="7"/>
      <x:c r="G4" s="7" t="str">
        <x:v>Office-Home gain vs Prompt</x:v>
      </x:c>
      <x:c r="H4" s="7"/>
    </x:row>
    <x:row r="5">
      <x:c r="A5" s="12" t="n">
        <x:f>'Office31 Main'!H10</x:f>
        <x:v>84.02527141943304</x:v>
      </x:c>
      <x:c r="B5" s="12"/>
      <x:c r="C5" s="12" t="n">
        <x:f>'Office31 Main'!H10-'Office31 Main'!H6</x:f>
        <x:v>1.5447563961312767</x:v>
      </x:c>
      <x:c r="D5" s="12"/>
      <x:c r="E5" s="12" t="n">
        <x:f>'OfficeHome Main'!N10</x:f>
        <x:v>80.8966574817389</x:v>
      </x:c>
      <x:c r="F5" s="12"/>
      <x:c r="G5" s="12" t="n">
        <x:f>'OfficeHome Main'!N10-'OfficeHome Main'!N6</x:f>
        <x:v>0.8213623043155422</x:v>
      </x:c>
      <x:c r="H5" s="12"/>
    </x:row>
    <x:row r="6">
      <x:c r="A6" s="12"/>
      <x:c r="B6" s="12"/>
      <x:c r="C6" s="12"/>
      <x:c r="D6" s="12"/>
      <x:c r="E6" s="12"/>
      <x:c r="F6" s="12"/>
      <x:c r="G6" s="12"/>
      <x:c r="H6" s="12"/>
    </x:row>
    <x:row r="8">
      <x:c r="A8" s="14" t="str">
        <x:v>Method</x:v>
      </x:c>
      <x:c r="B8" s="14" t="str">
        <x:v>Office-31</x:v>
      </x:c>
      <x:c r="C8" s="14" t="str">
        <x:v>Office-Home</x:v>
      </x:c>
    </x:row>
    <x:row r="9">
      <x:c r="A9" t="str">
        <x:v>CLIP Zero-Shot</x:v>
      </x:c>
      <x:c r="B9" s="15" t="n">
        <x:f>'Office31 Main'!H5</x:f>
        <x:v>81.45908877806993</x:v>
      </x:c>
      <x:c r="C9" s="15" t="n">
        <x:f>'OfficeHome Main'!N5</x:f>
        <x:v>79.1120260712022</x:v>
      </x:c>
    </x:row>
    <x:row r="10">
      <x:c r="A10" t="str">
        <x:v>Prompt Ensemble</x:v>
      </x:c>
      <x:c r="B10" s="15" t="n">
        <x:f>'Office31 Main'!H6</x:f>
        <x:v>82.48051502330176</x:v>
      </x:c>
      <x:c r="C10" s="15" t="n">
        <x:f>'OfficeHome Main'!N6</x:f>
        <x:v>80.07529517742336</x:v>
      </x:c>
    </x:row>
    <x:row r="11">
      <x:c r="A11" t="str">
        <x:v>Source Prototype</x:v>
      </x:c>
      <x:c r="B11" s="15" t="n">
        <x:f>'Office31 Main'!H7</x:f>
        <x:v>79.02157615398063</x:v>
      </x:c>
      <x:c r="C11" s="15" t="n">
        <x:f>'OfficeHome Main'!N7</x:f>
        <x:v>63.37508569824161</x:v>
      </x:c>
    </x:row>
    <x:row r="12">
      <x:c r="A12" t="str">
        <x:v>T3A (protocol-compatible)</x:v>
      </x:c>
      <x:c r="B12" s="15" t="n">
        <x:f>'Office31 Main'!H8</x:f>
        <x:v>84.61165362584288</x:v>
      </x:c>
      <x:c r="C12" s="15" t="n">
        <x:f>'OfficeHome Main'!N8</x:f>
        <x:v>74.1812221530283</x:v>
      </x:c>
    </x:row>
    <x:row r="13">
      <x:c r="A13" t="str">
        <x:v>Tip-Adapter source cache</x:v>
      </x:c>
      <x:c r="B13" s="15" t="n">
        <x:f>'Office31 Main'!H9</x:f>
        <x:v>78.16787985694731</x:v>
      </x:c>
      <x:c r="C13" s="15" t="n">
        <x:f>'OfficeHome Main'!N9</x:f>
        <x:v>65.01780137418744</x:v>
      </x:c>
    </x:row>
    <x:row r="14">
      <x:c r="A14" t="str">
        <x:v>SA-TPA</x:v>
      </x:c>
      <x:c r="B14" s="15" t="n">
        <x:f>'Office31 Main'!H10</x:f>
        <x:v>84.02527141943304</x:v>
      </x:c>
      <x:c r="C14" s="15" t="n">
        <x:f>'OfficeHome Main'!N10</x:f>
        <x:v>80.8966574817389</x:v>
      </x:c>
    </x:row>
    <x:row r="17">
      <x:c r="A17" s="14" t="str">
        <x:v>Frozen experiment</x:v>
      </x:c>
      <x:c r="B17" s="14" t="str">
        <x:v>Tag</x:v>
      </x:c>
      <x:c r="C17" s="14" t="str">
        <x:v>Commit</x:v>
      </x:c>
      <x:c r="D17" s="14" t="str">
        <x:v>Decision</x:v>
      </x:c>
    </x:row>
    <x:row r="18">
      <x:c r="A18" s="17" t="str">
        <x:v>Original fixed-weight SA-TPA</x:v>
      </x:c>
      <x:c r="B18" s="17" t="str">
        <x:v>experiments-final-v1</x:v>
      </x:c>
      <x:c r="C18" s="18" t="str">
        <x:v>ac7ec4c6709326d2ee4d629d103fd119d75e1496</x:v>
      </x:c>
      <x:c r="D18" s="17" t="str">
        <x:v>Retain</x:v>
      </x:c>
    </x:row>
  </x:sheetData>
  <x:mergeCells>
    <x:mergeCell ref="A1:H2"/>
    <x:mergeCell ref="A4:B4"/>
    <x:mergeCell ref="C4:D4"/>
    <x:mergeCell ref="E4:F4"/>
    <x:mergeCell ref="G4:H4"/>
    <x:mergeCell ref="A5:B6"/>
    <x:mergeCell ref="C5:D6"/>
    <x:mergeCell ref="E5:F6"/>
    <x:mergeCell ref="G5:H6"/>
  </x:mergeCells>
  <x:pageMargins left="0.7" right="0.7" top="0.75" bottom="0.75" header="0.3" footer="0.3"/>
  <x:drawing xmlns:r="http://schemas.openxmlformats.org/officeDocument/2006/relationships" r:id="Rf79dbcd9ea544f5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21" t="str">
        <x:v>Office-31 Main Results (ViT-B/32)</x:v>
      </x:c>
      <x:c r="B1" s="21"/>
      <x:c r="C1" s="21"/>
      <x:c r="D1" s="21"/>
      <x:c r="E1" s="21"/>
      <x:c r="F1" s="21"/>
      <x:c r="G1" s="21"/>
      <x:c r="H1" s="21"/>
    </x:row>
    <x:row r="2" ht="30" customHeight="1">
      <x:c r="A2" s="23" t="str">
        <x:v>Derived from frozen experiment CSV files; values are percentages unless noted.</x:v>
      </x:c>
      <x:c r="B2" s="23"/>
      <x:c r="C2" s="23"/>
      <x:c r="D2" s="23"/>
      <x:c r="E2" s="23"/>
      <x:c r="F2" s="23"/>
      <x:c r="G2" s="23"/>
      <x:c r="H2" s="23"/>
    </x:row>
    <x:row r="4" ht="32" customHeight="1">
      <x:c r="A4" s="33" t="str">
        <x:v>Method</x:v>
      </x:c>
      <x:c r="B4" s="34" t="str">
        <x:v>A2W</x:v>
      </x:c>
      <x:c r="C4" s="34" t="str">
        <x:v>D2W</x:v>
      </x:c>
      <x:c r="D4" s="34" t="str">
        <x:v>W2A</x:v>
      </x:c>
      <x:c r="E4" s="34" t="str">
        <x:v>A2D</x:v>
      </x:c>
      <x:c r="F4" s="34" t="str">
        <x:v>D2A</x:v>
      </x:c>
      <x:c r="G4" s="34" t="str">
        <x:v>W2D</x:v>
      </x:c>
      <x:c r="H4" s="35" t="str">
        <x:v>Mean</x:v>
      </x:c>
    </x:row>
    <x:row r="5">
      <x:c r="A5" s="46" t="str">
        <x:v>CLIP Zero-Shot</x:v>
      </x:c>
      <x:c r="B5" s="58" t="n">
        <x:v>82.0125786163522</x:v>
      </x:c>
      <x:c r="C5" s="58" t="n">
        <x:v>82.0125786163522</x:v>
      </x:c>
      <x:c r="D5" s="58" t="n">
        <x:v>78.62974795882144</x:v>
      </x:c>
      <x:c r="E5" s="58" t="n">
        <x:v>83.73493975903614</x:v>
      </x:c>
      <x:c r="F5" s="58" t="n">
        <x:v>78.62974795882144</x:v>
      </x:c>
      <x:c r="G5" s="58" t="n">
        <x:v>83.73493975903614</x:v>
      </x:c>
      <x:c r="H5" s="64" t="n">
        <x:f>AVERAGE(B5:G5)</x:f>
        <x:v>81.45908877806993</x:v>
      </x:c>
    </x:row>
    <x:row r="6">
      <x:c r="A6" s="49" t="str">
        <x:v>Prompt Ensemble</x:v>
      </x:c>
      <x:c r="B6" s="59" t="n">
        <x:v>83.39622641509435</x:v>
      </x:c>
      <x:c r="C6" s="59" t="n">
        <x:v>83.39622641509435</x:v>
      </x:c>
      <x:c r="D6" s="59" t="n">
        <x:v>80.5111821086262</x:v>
      </x:c>
      <x:c r="E6" s="59" t="n">
        <x:v>83.53413654618474</x:v>
      </x:c>
      <x:c r="F6" s="59" t="n">
        <x:v>80.5111821086262</x:v>
      </x:c>
      <x:c r="G6" s="59" t="n">
        <x:v>83.53413654618474</x:v>
      </x:c>
      <x:c r="H6" s="65" t="n">
        <x:f>AVERAGE(B6:G6)</x:f>
        <x:v>82.48051502330176</x:v>
      </x:c>
    </x:row>
    <x:row r="7">
      <x:c r="A7" s="49" t="str">
        <x:v>Source Prototype</x:v>
      </x:c>
      <x:c r="B7" s="59" t="n">
        <x:v>74.46540880503144</x:v>
      </x:c>
      <x:c r="C7" s="59" t="n">
        <x:v>93.8364779874214</x:v>
      </x:c>
      <x:c r="D7" s="59" t="n">
        <x:v>68.26411075612353</x:v>
      </x:c>
      <x:c r="E7" s="59" t="n">
        <x:v>74.49799196787149</x:v>
      </x:c>
      <x:c r="F7" s="59" t="n">
        <x:v>67.48313809016683</x:v>
      </x:c>
      <x:c r="G7" s="59" t="n">
        <x:v>95.58232931726909</x:v>
      </x:c>
      <x:c r="H7" s="65" t="n">
        <x:f>AVERAGE(B7:G7)</x:f>
        <x:v>79.02157615398063</x:v>
      </x:c>
    </x:row>
    <x:row r="8">
      <x:c r="A8" s="49" t="str">
        <x:v>T3A (protocol-compatible)</x:v>
      </x:c>
      <x:c r="B8" s="59" t="n">
        <x:v>84.0251572327044</x:v>
      </x:c>
      <x:c r="C8" s="59" t="n">
        <x:v>84.0251572327044</x:v>
      </x:c>
      <x:c r="D8" s="59" t="n">
        <x:v>80.65317713880015</x:v>
      </x:c>
      <x:c r="E8" s="59" t="n">
        <x:v>89.1566265060241</x:v>
      </x:c>
      <x:c r="F8" s="59" t="n">
        <x:v>80.65317713880015</x:v>
      </x:c>
      <x:c r="G8" s="59" t="n">
        <x:v>89.1566265060241</x:v>
      </x:c>
      <x:c r="H8" s="65" t="n">
        <x:f>AVERAGE(B8:G8)</x:f>
        <x:v>84.61165362584288</x:v>
      </x:c>
    </x:row>
    <x:row r="9">
      <x:c r="A9" s="49" t="str">
        <x:v>Tip-Adapter source cache</x:v>
      </x:c>
      <x:c r="B9" s="59" t="n">
        <x:v>79.87421383647799</x:v>
      </x:c>
      <x:c r="C9" s="59" t="n">
        <x:v>80.75471698113208</x:v>
      </x:c>
      <x:c r="D9" s="59" t="n">
        <x:v>72.87894923677672</x:v>
      </x:c>
      <x:c r="E9" s="59" t="n">
        <x:v>77.10843373493977</x:v>
      </x:c>
      <x:c r="F9" s="59" t="n">
        <x:v>75.86084487042953</x:v>
      </x:c>
      <x:c r="G9" s="59" t="n">
        <x:v>82.53012048192771</x:v>
      </x:c>
      <x:c r="H9" s="65" t="n">
        <x:f>AVERAGE(B9:G9)</x:f>
        <x:v>78.16787985694731</x:v>
      </x:c>
    </x:row>
    <x:row r="10">
      <x:c r="A10" s="52" t="str">
        <x:v>SA-TPA</x:v>
      </x:c>
      <x:c r="B10" s="60" t="n">
        <x:v>84.65408805031447</x:v>
      </x:c>
      <x:c r="C10" s="60" t="n">
        <x:v>86.28930817610063</x:v>
      </x:c>
      <x:c r="D10" s="60" t="n">
        <x:v>81.2566560170394</x:v>
      </x:c>
      <x:c r="E10" s="60" t="n">
        <x:v>84.13654618473896</x:v>
      </x:c>
      <x:c r="F10" s="60" t="n">
        <x:v>81.46964856230032</x:v>
      </x:c>
      <x:c r="G10" s="60" t="n">
        <x:v>86.34538152610442</x:v>
      </x:c>
      <x:c r="H10" s="66" t="n">
        <x:f>AVERAGE(B10:G10)</x:f>
        <x:v>84.02527141943304</x:v>
      </x:c>
    </x:row>
  </x:sheetData>
  <x:mergeCells>
    <x:mergeCell ref="A1:H1"/>
    <x:mergeCell ref="A2:H2"/>
  </x:mergeCells>
  <x:conditionalFormatting sqref="B5:H10">
    <x:cfRule type="colorScale" priority="1">
      <x:colorScale>
        <x:cfvo type="min"/>
        <x:cfvo type="percentile" val="50"/>
        <x:cfvo type="max"/>
        <x:color rgb="FFFEE2E2"/>
        <x:color rgb="FFFEF3C7"/>
        <x:color rgb="FFD1FAE5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28" customHeight="1">
      <x:c r="A1" s="21" t="str">
        <x:v>Office-Home Main Results (ViT-B/32)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</x:row>
    <x:row r="2" ht="30" customHeight="1">
      <x:c r="A2" s="23" t="str">
        <x:v>Derived from frozen experiment CSV files; values are percentages unless noted.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4" ht="32" customHeight="1">
      <x:c r="A4" s="33" t="str">
        <x:v>Method</x:v>
      </x:c>
      <x:c r="B4" s="34" t="str">
        <x:v>A2C</x:v>
      </x:c>
      <x:c r="C4" s="34" t="str">
        <x:v>A2P</x:v>
      </x:c>
      <x:c r="D4" s="34" t="str">
        <x:v>A2R</x:v>
      </x:c>
      <x:c r="E4" s="34" t="str">
        <x:v>C2A</x:v>
      </x:c>
      <x:c r="F4" s="34" t="str">
        <x:v>C2P</x:v>
      </x:c>
      <x:c r="G4" s="34" t="str">
        <x:v>C2R</x:v>
      </x:c>
      <x:c r="H4" s="34" t="str">
        <x:v>P2A</x:v>
      </x:c>
      <x:c r="I4" s="34" t="str">
        <x:v>P2C</x:v>
      </x:c>
      <x:c r="J4" s="34" t="str">
        <x:v>P2R</x:v>
      </x:c>
      <x:c r="K4" s="34" t="str">
        <x:v>R2A</x:v>
      </x:c>
      <x:c r="L4" s="34" t="str">
        <x:v>R2C</x:v>
      </x:c>
      <x:c r="M4" s="34" t="str">
        <x:v>R2P</x:v>
      </x:c>
      <x:c r="N4" s="35" t="str">
        <x:v>Mean</x:v>
      </x:c>
    </x:row>
    <x:row r="5">
      <x:c r="A5" s="46" t="str">
        <x:v>CLIP Zero-Shot</x:v>
      </x:c>
      <x:c r="B5" s="58" t="n">
        <x:v>64.78808705612829</x:v>
      </x:c>
      <x:c r="C5" s="58" t="n">
        <x:v>86.50596981302095</x:v>
      </x:c>
      <x:c r="D5" s="58" t="n">
        <x:v>87.23892586642185</x:v>
      </x:c>
      <x:c r="E5" s="58" t="n">
        <x:v>77.91512154923774</x:v>
      </x:c>
      <x:c r="F5" s="58" t="n">
        <x:v>86.50596981302095</x:v>
      </x:c>
      <x:c r="G5" s="58" t="n">
        <x:v>87.23892586642185</x:v>
      </x:c>
      <x:c r="H5" s="58" t="n">
        <x:v>77.91512154923774</x:v>
      </x:c>
      <x:c r="I5" s="58" t="n">
        <x:v>64.78808705612829</x:v>
      </x:c>
      <x:c r="J5" s="58" t="n">
        <x:v>87.23892586642185</x:v>
      </x:c>
      <x:c r="K5" s="58" t="n">
        <x:v>77.91512154923774</x:v>
      </x:c>
      <x:c r="L5" s="58" t="n">
        <x:v>64.78808705612829</x:v>
      </x:c>
      <x:c r="M5" s="58" t="n">
        <x:v>86.50596981302095</x:v>
      </x:c>
      <x:c r="N5" s="64" t="n">
        <x:f>AVERAGE(B5:M5)</x:f>
        <x:v>79.1120260712022</x:v>
      </x:c>
    </x:row>
    <x:row r="6">
      <x:c r="A6" s="49" t="str">
        <x:v>Prompt Ensemble</x:v>
      </x:c>
      <x:c r="B6" s="59" t="n">
        <x:v>66.27720504009163</x:v>
      </x:c>
      <x:c r="C6" s="59" t="n">
        <x:v>87.36201847262896</x:v>
      </x:c>
      <x:c r="D6" s="59" t="n">
        <x:v>87.8815698875373</x:v>
      </x:c>
      <x:c r="E6" s="59" t="n">
        <x:v>78.78038730943551</x:v>
      </x:c>
      <x:c r="F6" s="59" t="n">
        <x:v>87.36201847262896</x:v>
      </x:c>
      <x:c r="G6" s="59" t="n">
        <x:v>87.8815698875373</x:v>
      </x:c>
      <x:c r="H6" s="59" t="n">
        <x:v>78.78038730943551</x:v>
      </x:c>
      <x:c r="I6" s="59" t="n">
        <x:v>66.27720504009163</x:v>
      </x:c>
      <x:c r="J6" s="59" t="n">
        <x:v>87.8815698875373</x:v>
      </x:c>
      <x:c r="K6" s="59" t="n">
        <x:v>78.78038730943551</x:v>
      </x:c>
      <x:c r="L6" s="59" t="n">
        <x:v>66.27720504009163</x:v>
      </x:c>
      <x:c r="M6" s="59" t="n">
        <x:v>87.36201847262896</x:v>
      </x:c>
      <x:c r="N6" s="65" t="n">
        <x:f>AVERAGE(B6:M6)</x:f>
        <x:v>80.07529517742336</x:v>
      </x:c>
    </x:row>
    <x:row r="7">
      <x:c r="A7" s="49" t="str">
        <x:v>Source Prototype</x:v>
      </x:c>
      <x:c r="B7" s="59" t="n">
        <x:v>45.84192439862543</x:v>
      </x:c>
      <x:c r="C7" s="59" t="n">
        <x:v>60.68934444694752</x:v>
      </x:c>
      <x:c r="D7" s="59" t="n">
        <x:v>70.78264861142989</x:v>
      </x:c>
      <x:c r="E7" s="59" t="n">
        <x:v>67.57313555830244</x:v>
      </x:c>
      <x:c r="F7" s="59" t="n">
        <x:v>67.65037170533904</x:v>
      </x:c>
      <x:c r="G7" s="59" t="n">
        <x:v>73.90406242827635</x:v>
      </x:c>
      <x:c r="H7" s="59" t="n">
        <x:v>54.55294602389782</x:v>
      </x:c>
      <x:c r="I7" s="59" t="n">
        <x:v>47.0332187857961</x:v>
      </x:c>
      <x:c r="J7" s="59" t="n">
        <x:v>78.74684415882489</x:v>
      </x:c>
      <x:c r="K7" s="59" t="n">
        <x:v>65.47177585496497</x:v>
      </x:c>
      <x:c r="L7" s="59" t="n">
        <x:v>48.957617411225655</x:v>
      </x:c>
      <x:c r="M7" s="59" t="n">
        <x:v>79.2971389952692</x:v>
      </x:c>
      <x:c r="N7" s="65" t="n">
        <x:f>AVERAGE(B7:M7)</x:f>
        <x:v>63.37508569824161</x:v>
      </x:c>
    </x:row>
    <x:row r="8">
      <x:c r="A8" s="49" t="str">
        <x:v>T3A (protocol-compatible)</x:v>
      </x:c>
      <x:c r="B8" s="59" t="n">
        <x:v>59.01489117983964</x:v>
      </x:c>
      <x:c r="C8" s="59" t="n">
        <x:v>86.46091462041</x:v>
      </x:c>
      <x:c r="D8" s="59" t="n">
        <x:v>81.6157906816617</x:v>
      </x:c>
      <x:c r="E8" s="59" t="n">
        <x:v>69.6332921302019</x:v>
      </x:c>
      <x:c r="F8" s="59" t="n">
        <x:v>86.46091462041</x:v>
      </x:c>
      <x:c r="G8" s="59" t="n">
        <x:v>81.6157906816617</x:v>
      </x:c>
      <x:c r="H8" s="59" t="n">
        <x:v>69.6332921302019</x:v>
      </x:c>
      <x:c r="I8" s="59" t="n">
        <x:v>59.01489117983964</x:v>
      </x:c>
      <x:c r="J8" s="59" t="n">
        <x:v>81.6157906816617</x:v>
      </x:c>
      <x:c r="K8" s="59" t="n">
        <x:v>69.6332921302019</x:v>
      </x:c>
      <x:c r="L8" s="59" t="n">
        <x:v>59.01489117983964</x:v>
      </x:c>
      <x:c r="M8" s="59" t="n">
        <x:v>86.46091462041</x:v>
      </x:c>
      <x:c r="N8" s="65" t="n">
        <x:f>AVERAGE(B8:M8)</x:f>
        <x:v>74.1812221530283</x:v>
      </x:c>
    </x:row>
    <x:row r="9">
      <x:c r="A9" s="49" t="str">
        <x:v>Tip-Adapter source cache</x:v>
      </x:c>
      <x:c r="B9" s="59" t="n">
        <x:v>44.58190148911799</x:v>
      </x:c>
      <x:c r="C9" s="59" t="n">
        <x:v>76.2559134940302</x:v>
      </x:c>
      <x:c r="D9" s="59" t="n">
        <x:v>71.65480835437228</x:v>
      </x:c>
      <x:c r="E9" s="59" t="n">
        <x:v>56.36588380716935</x:v>
      </x:c>
      <x:c r="F9" s="59" t="n">
        <x:v>67.22234737553504</x:v>
      </x:c>
      <x:c r="G9" s="59" t="n">
        <x:v>65.27427128758319</x:v>
      </x:c>
      <x:c r="H9" s="59" t="n">
        <x:v>65.96621343222084</x:v>
      </x:c>
      <x:c r="I9" s="59" t="n">
        <x:v>52.9667812142039</x:v>
      </x:c>
      <x:c r="J9" s="59" t="n">
        <x:v>75.30410833142071</x:v>
      </x:c>
      <x:c r="K9" s="59" t="n">
        <x:v>70.7457766790276</x:v>
      </x:c>
      <x:c r="L9" s="59" t="n">
        <x:v>56.40320733104238</x:v>
      </x:c>
      <x:c r="M9" s="59" t="n">
        <x:v>77.4724036945258</x:v>
      </x:c>
      <x:c r="N9" s="65" t="n">
        <x:f>AVERAGE(B9:M9)</x:f>
        <x:v>65.01780137418744</x:v>
      </x:c>
    </x:row>
    <x:row r="10">
      <x:c r="A10" s="52" t="str">
        <x:v>SA-TPA</x:v>
      </x:c>
      <x:c r="B10" s="60" t="n">
        <x:v>66.68957617411225</x:v>
      </x:c>
      <x:c r="C10" s="60" t="n">
        <x:v>87.99279116918225</x:v>
      </x:c>
      <x:c r="D10" s="60" t="n">
        <x:v>88.73077805829699</x:v>
      </x:c>
      <x:c r="E10" s="60" t="n">
        <x:v>79.68685620107128</x:v>
      </x:c>
      <x:c r="F10" s="60" t="n">
        <x:v>87.92520838026583</x:v>
      </x:c>
      <x:c r="G10" s="60" t="n">
        <x:v>88.96029378012393</x:v>
      </x:c>
      <x:c r="H10" s="60" t="n">
        <x:v>78.90399670374948</x:v>
      </x:c>
      <x:c r="I10" s="60" t="n">
        <x:v>67.90378006872852</x:v>
      </x:c>
      <x:c r="J10" s="60" t="n">
        <x:v>89.18980950195088</x:v>
      </x:c>
      <x:c r="K10" s="60" t="n">
        <x:v>79.48084054388134</x:v>
      </x:c>
      <x:c r="L10" s="60" t="n">
        <x:v>67.0103092783505</x:v>
      </x:c>
      <x:c r="M10" s="60" t="n">
        <x:v>88.28564992115341</x:v>
      </x:c>
      <x:c r="N10" s="66" t="n">
        <x:f>AVERAGE(B10:M10)</x:f>
        <x:v>80.8966574817389</x:v>
      </x:c>
    </x:row>
  </x:sheetData>
  <x:mergeCells>
    <x:mergeCell ref="A1:N1"/>
    <x:mergeCell ref="A2:N2"/>
  </x:mergeCells>
  <x:conditionalFormatting sqref="B5:N10">
    <x:cfRule type="colorScale" priority="1">
      <x:colorScale>
        <x:cfvo type="min"/>
        <x:cfvo type="percentile" val="50"/>
        <x:cfvo type="max"/>
        <x:color rgb="FFFEE2E2"/>
        <x:color rgb="FFFEF3C7"/>
        <x:color rgb="FFD1FAE5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8" customHeight="1">
      <x:c r="A1" s="21" t="str">
        <x:v>Backbone Extension</x:v>
      </x:c>
      <x:c r="B1" s="21"/>
      <x:c r="C1" s="21"/>
      <x:c r="D1" s="21"/>
      <x:c r="E1" s="21"/>
    </x:row>
    <x:row r="2" ht="30" customHeight="1">
      <x:c r="A2" s="23" t="str">
        <x:v>ViT-B/16 was executed on Kaggle; ViT-B/32 was executed locally under the corresponding frozen protocol.</x:v>
      </x:c>
      <x:c r="B2" s="23"/>
      <x:c r="C2" s="23"/>
      <x:c r="D2" s="23"/>
      <x:c r="E2" s="23"/>
    </x:row>
    <x:row r="4" ht="32" customHeight="1">
      <x:c r="A4" s="33" t="str">
        <x:v>Benchmark</x:v>
      </x:c>
      <x:c r="B4" s="34" t="str">
        <x:v>Method</x:v>
      </x:c>
      <x:c r="C4" s="34" t="str">
        <x:v>ViT-B/16</x:v>
      </x:c>
      <x:c r="D4" s="34" t="str">
        <x:v>ViT-B/32</x:v>
      </x:c>
      <x:c r="E4" s="35" t="str">
        <x:v>B16 - B32</x:v>
      </x:c>
    </x:row>
    <x:row r="5">
      <x:c r="A5" s="46" t="str">
        <x:v>office31</x:v>
      </x:c>
      <x:c r="B5" s="47" t="str">
        <x:v>CLIP Zero-Shot</x:v>
      </x:c>
      <x:c r="C5" s="58" t="n">
        <x:v>79.03284378833207</x:v>
      </x:c>
      <x:c r="D5" s="58" t="n">
        <x:v>81.45908877806993</x:v>
      </x:c>
      <x:c r="E5" s="64" t="n">
        <x:v>-2.426244989737853</x:v>
      </x:c>
    </x:row>
    <x:row r="6">
      <x:c r="A6" s="49" t="str">
        <x:v>office31</x:v>
      </x:c>
      <x:c r="B6" s="50" t="str">
        <x:v>Prompt Ensemble</x:v>
      </x:c>
      <x:c r="C6" s="59" t="n">
        <x:v>82.90980413169817</x:v>
      </x:c>
      <x:c r="D6" s="59" t="n">
        <x:v>82.48051502330176</x:v>
      </x:c>
      <x:c r="E6" s="65" t="n">
        <x:v>0.42928910839640366</x:v>
      </x:c>
    </x:row>
    <x:row r="7">
      <x:c r="A7" s="49" t="str">
        <x:v>office31</x:v>
      </x:c>
      <x:c r="B7" s="50" t="str">
        <x:v>SA-TPA</x:v>
      </x:c>
      <x:c r="C7" s="59" t="n">
        <x:v>85.05216854047222</x:v>
      </x:c>
      <x:c r="D7" s="59" t="n">
        <x:v>84.02527141943304</x:v>
      </x:c>
      <x:c r="E7" s="65" t="n">
        <x:v>1.026897121039184</x:v>
      </x:c>
    </x:row>
    <x:row r="8">
      <x:c r="A8" s="49" t="str">
        <x:v>office31</x:v>
      </x:c>
      <x:c r="B8" s="50" t="str">
        <x:v>Text + Target</x:v>
      </x:c>
      <x:c r="C8" s="59" t="n">
        <x:v>83.0761791716467</x:v>
      </x:c>
      <x:c r="D8" s="59" t="n">
        <x:v>82.98866129819578</x:v>
      </x:c>
      <x:c r="E8" s="65" t="n">
        <x:v>0.08751787345092055</x:v>
      </x:c>
    </x:row>
    <x:row r="9">
      <x:c r="A9" s="49" t="str">
        <x:v>officehome</x:v>
      </x:c>
      <x:c r="B9" s="50" t="str">
        <x:v>CLIP Zero-Shot</x:v>
      </x:c>
      <x:c r="C9" s="59" t="n">
        <x:v>82.25783604812828</x:v>
      </x:c>
      <x:c r="D9" s="59" t="n">
        <x:v>79.11202607120221</x:v>
      </x:c>
      <x:c r="E9" s="65" t="n">
        <x:v>3.145809976926074</x:v>
      </x:c>
    </x:row>
    <x:row r="10">
      <x:c r="A10" s="49" t="str">
        <x:v>officehome</x:v>
      </x:c>
      <x:c r="B10" s="50" t="str">
        <x:v>Prompt Ensemble</x:v>
      </x:c>
      <x:c r="C10" s="59" t="n">
        <x:v>83.30819863522721</x:v>
      </x:c>
      <x:c r="D10" s="59" t="n">
        <x:v>80.07529517742336</x:v>
      </x:c>
      <x:c r="E10" s="65" t="n">
        <x:v>3.2329034578038573</x:v>
      </x:c>
    </x:row>
    <x:row r="11">
      <x:c r="A11" s="49" t="str">
        <x:v>officehome</x:v>
      </x:c>
      <x:c r="B11" s="50" t="str">
        <x:v>SA-TPA</x:v>
      </x:c>
      <x:c r="C11" s="59" t="n">
        <x:v>84.19044126081448</x:v>
      </x:c>
      <x:c r="D11" s="59" t="n">
        <x:v>80.8966574817389</x:v>
      </x:c>
      <x:c r="E11" s="65" t="n">
        <x:v>3.293783779075582</x:v>
      </x:c>
    </x:row>
    <x:row r="12">
      <x:c r="A12" s="52" t="str">
        <x:v>officehome</x:v>
      </x:c>
      <x:c r="B12" s="53" t="str">
        <x:v>Text + Target</x:v>
      </x:c>
      <x:c r="C12" s="60" t="n">
        <x:v>83.72033323204539</x:v>
      </x:c>
      <x:c r="D12" s="60" t="n">
        <x:v>80.47350725236636</x:v>
      </x:c>
      <x:c r="E12" s="66" t="n">
        <x:v>3.2468259796790306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21" t="str">
        <x:v>Component Ablations</x:v>
      </x:c>
      <x:c r="B1" s="21"/>
      <x:c r="C1" s="21"/>
      <x:c r="D1" s="21"/>
      <x:c r="E1" s="21"/>
      <x:c r="F1" s="21"/>
      <x:c r="G1" s="21"/>
    </x:row>
    <x:row r="2" ht="30" customHeight="1">
      <x:c r="A2" s="23" t="str">
        <x:v>Derived from frozen experiment CSV files; values are percentages unless noted.</x:v>
      </x:c>
      <x:c r="B2" s="23"/>
      <x:c r="C2" s="23"/>
      <x:c r="D2" s="23"/>
      <x:c r="E2" s="23"/>
      <x:c r="F2" s="23"/>
      <x:c r="G2" s="23"/>
    </x:row>
    <x:row r="4" ht="32" customHeight="1">
      <x:c r="A4" s="33" t="str">
        <x:v>Method</x:v>
      </x:c>
      <x:c r="B4" s="34" t="str">
        <x:v>Text</x:v>
      </x:c>
      <x:c r="C4" s="34" t="str">
        <x:v>Source anchor</x:v>
      </x:c>
      <x:c r="D4" s="34" t="str">
        <x:v>Target prototype</x:v>
      </x:c>
      <x:c r="E4" s="34" t="str">
        <x:v>Uncertainty</x:v>
      </x:c>
      <x:c r="F4" s="34" t="str">
        <x:v>Office-31</x:v>
      </x:c>
      <x:c r="G4" s="35" t="str">
        <x:v>Office-Home</x:v>
      </x:c>
    </x:row>
    <x:row r="5">
      <x:c r="A5" s="46" t="str">
        <x:v>Prompt Ensemble</x:v>
      </x:c>
      <x:c r="B5" s="47" t="str">
        <x:v>Yes</x:v>
      </x:c>
      <x:c r="C5" s="47" t="str">
        <x:v>No</x:v>
      </x:c>
      <x:c r="D5" s="47" t="str">
        <x:v>No</x:v>
      </x:c>
      <x:c r="E5" s="47" t="str">
        <x:v>No</x:v>
      </x:c>
      <x:c r="F5" s="58" t="n">
        <x:v>82.48051502330176</x:v>
      </x:c>
      <x:c r="G5" s="64" t="n">
        <x:v>80.07529517742336</x:v>
      </x:c>
    </x:row>
    <x:row r="6">
      <x:c r="A6" s="49" t="str">
        <x:v>Text + Source</x:v>
      </x:c>
      <x:c r="B6" s="50" t="str">
        <x:v>Yes</x:v>
      </x:c>
      <x:c r="C6" s="50" t="str">
        <x:v>Yes</x:v>
      </x:c>
      <x:c r="D6" s="50" t="str">
        <x:v>No</x:v>
      </x:c>
      <x:c r="E6" s="50" t="str">
        <x:v>No</x:v>
      </x:c>
      <x:c r="F6" s="59" t="n">
        <x:v>83.49176237572308</x:v>
      </x:c>
      <x:c r="G6" s="65" t="n">
        <x:v>80.67241435465446</x:v>
      </x:c>
    </x:row>
    <x:row r="7">
      <x:c r="A7" s="49" t="str">
        <x:v>Text + Target</x:v>
      </x:c>
      <x:c r="B7" s="50" t="str">
        <x:v>Yes</x:v>
      </x:c>
      <x:c r="C7" s="50" t="str">
        <x:v>No</x:v>
      </x:c>
      <x:c r="D7" s="50" t="str">
        <x:v>Yes</x:v>
      </x:c>
      <x:c r="E7" s="50" t="str">
        <x:v>Yes</x:v>
      </x:c>
      <x:c r="F7" s="59" t="n">
        <x:v>82.98866129819578</x:v>
      </x:c>
      <x:c r="G7" s="65" t="n">
        <x:v>80.47350725236636</x:v>
      </x:c>
    </x:row>
    <x:row r="8">
      <x:c r="A8" s="49" t="str">
        <x:v>SA-TPA w/o uncertainty</x:v>
      </x:c>
      <x:c r="B8" s="50" t="str">
        <x:v>Yes</x:v>
      </x:c>
      <x:c r="C8" s="50" t="str">
        <x:v>Yes</x:v>
      </x:c>
      <x:c r="D8" s="50" t="str">
        <x:v>Yes</x:v>
      </x:c>
      <x:c r="E8" s="50" t="str">
        <x:v>No</x:v>
      </x:c>
      <x:c r="F8" s="59" t="n">
        <x:v>83.95900693752296</x:v>
      </x:c>
      <x:c r="G8" s="65" t="n">
        <x:v>80.90577961616893</x:v>
      </x:c>
    </x:row>
    <x:row r="9">
      <x:c r="A9" s="52" t="str">
        <x:v>SA-TPA</x:v>
      </x:c>
      <x:c r="B9" s="53" t="str">
        <x:v>Yes</x:v>
      </x:c>
      <x:c r="C9" s="53" t="str">
        <x:v>Yes</x:v>
      </x:c>
      <x:c r="D9" s="53" t="str">
        <x:v>Yes</x:v>
      </x:c>
      <x:c r="E9" s="53" t="str">
        <x:v>Yes</x:v>
      </x:c>
      <x:c r="F9" s="60" t="n">
        <x:v>84.02527141943304</x:v>
      </x:c>
      <x:c r="G9" s="66" t="n">
        <x:v>80.8966574817389</x:v>
      </x:c>
    </x:row>
  </x:sheetData>
  <x:mergeCells>
    <x:mergeCell ref="A1:G1"/>
    <x:mergeCell ref="A2:G2"/>
  </x:mergeCells>
  <x:conditionalFormatting sqref="B5:G9">
    <x:cfRule type="colorScale" priority="1">
      <x:colorScale>
        <x:cfvo type="min"/>
        <x:cfvo type="percentile" val="50"/>
        <x:cfvo type="max"/>
        <x:color rgb="FFFEE2E2"/>
        <x:color rgb="FFFEF3C7"/>
        <x:color rgb="FFD1FAE5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8" customHeight="1">
      <x:c r="A1" s="21" t="str">
        <x:v>Office-31 One-Factor Sensitivity</x:v>
      </x:c>
      <x:c r="B1" s="21"/>
      <x:c r="C1" s="21"/>
      <x:c r="D1" s="21"/>
      <x:c r="E1" s="21"/>
    </x:row>
    <x:row r="2" ht="30" customHeight="1">
      <x:c r="A2" s="23" t="str">
        <x:v>Derived from frozen experiment CSV files; values are percentages unless noted.</x:v>
      </x:c>
      <x:c r="B2" s="23"/>
      <x:c r="C2" s="23"/>
      <x:c r="D2" s="23"/>
      <x:c r="E2" s="23"/>
    </x:row>
    <x:row r="4" ht="32" customHeight="1">
      <x:c r="A4" s="33" t="str">
        <x:v>Parameter</x:v>
      </x:c>
      <x:c r="B4" s="34" t="str">
        <x:v>Value</x:v>
      </x:c>
      <x:c r="C4" s="34" t="str">
        <x:v>Mean accuracy</x:v>
      </x:c>
      <x:c r="D4" s="34" t="str">
        <x:v>Mean ECE</x:v>
      </x:c>
      <x:c r="E4" s="35" t="str">
        <x:v>Worst-task accuracy</x:v>
      </x:c>
    </x:row>
    <x:row r="5">
      <x:c r="A5" s="46" t="str">
        <x:v>alpha_source</x:v>
      </x:c>
      <x:c r="B5" s="58" t="n">
        <x:v>0</x:v>
      </x:c>
      <x:c r="C5" s="58" t="n">
        <x:v>82.98866129819578</x:v>
      </x:c>
      <x:c r="D5" s="58" t="n">
        <x:v>0.04186845082182683</x:v>
      </x:c>
      <x:c r="E5" s="64" t="n">
        <x:v>81.2566560170394</x:v>
      </x:c>
    </x:row>
    <x:row r="6">
      <x:c r="A6" s="49" t="str">
        <x:v>alpha_source</x:v>
      </x:c>
      <x:c r="B6" s="59" t="n">
        <x:v>0.05</x:v>
      </x:c>
      <x:c r="C6" s="59" t="n">
        <x:v>83.59249860709676</x:v>
      </x:c>
      <x:c r="D6" s="59" t="n">
        <x:v>0.043097454611121966</x:v>
      </x:c>
      <x:c r="E6" s="65" t="n">
        <x:v>81.07916222932198</x:v>
      </x:c>
    </x:row>
    <x:row r="7">
      <x:c r="A7" s="49" t="str">
        <x:v>alpha_source</x:v>
      </x:c>
      <x:c r="B7" s="59" t="n">
        <x:v>0.1</x:v>
      </x:c>
      <x:c r="C7" s="59" t="n">
        <x:v>84.02527141943304</x:v>
      </x:c>
      <x:c r="D7" s="59" t="n">
        <x:v>0.04799778926490525</x:v>
      </x:c>
      <x:c r="E7" s="65" t="n">
        <x:v>81.2566560170394</x:v>
      </x:c>
    </x:row>
    <x:row r="8">
      <x:c r="A8" s="49" t="str">
        <x:v>alpha_source</x:v>
      </x:c>
      <x:c r="B8" s="59" t="n">
        <x:v>0.2</x:v>
      </x:c>
      <x:c r="C8" s="59" t="n">
        <x:v>84.70041975256638</x:v>
      </x:c>
      <x:c r="D8" s="59" t="n">
        <x:v>0.053570817246513774</x:v>
      </x:c>
      <x:c r="E8" s="65" t="n">
        <x:v>80.86616968406106</x:v>
      </x:c>
    </x:row>
    <x:row r="9">
      <x:c r="A9" s="49" t="str">
        <x:v>alpha_source</x:v>
      </x:c>
      <x:c r="B9" s="59" t="n">
        <x:v>0.3</x:v>
      </x:c>
      <x:c r="C9" s="59" t="n">
        <x:v>84.63431236146789</x:v>
      </x:c>
      <x:c r="D9" s="59" t="n">
        <x:v>0.05564790987720893</x:v>
      </x:c>
      <x:c r="E9" s="65" t="n">
        <x:v>80.0141995030174</x:v>
      </x:c>
    </x:row>
    <x:row r="10">
      <x:c r="A10" s="49" t="str">
        <x:v>alpha_target</x:v>
      </x:c>
      <x:c r="B10" s="59" t="n">
        <x:v>0</x:v>
      </x:c>
      <x:c r="C10" s="59" t="n">
        <x:v>83.49176237572308</x:v>
      </x:c>
      <x:c r="D10" s="59" t="n">
        <x:v>0.0417817948186584</x:v>
      </x:c>
      <x:c r="E10" s="65" t="n">
        <x:v>80.65317713880015</x:v>
      </x:c>
    </x:row>
    <x:row r="11">
      <x:c r="A11" s="49" t="str">
        <x:v>alpha_target</x:v>
      </x:c>
      <x:c r="B11" s="59" t="n">
        <x:v>0.01</x:v>
      </x:c>
      <x:c r="C11" s="59" t="n">
        <x:v>83.65523527052396</x:v>
      </x:c>
      <x:c r="D11" s="59" t="n">
        <x:v>0.04389868930188667</x:v>
      </x:c>
      <x:c r="E11" s="65" t="n">
        <x:v>81.04366347177849</x:v>
      </x:c>
    </x:row>
    <x:row r="12">
      <x:c r="A12" s="49" t="str">
        <x:v>alpha_target</x:v>
      </x:c>
      <x:c r="B12" s="59" t="n">
        <x:v>0.025</x:v>
      </x:c>
      <x:c r="C12" s="59" t="n">
        <x:v>84.02527141943304</x:v>
      </x:c>
      <x:c r="D12" s="59" t="n">
        <x:v>0.04799778926490525</x:v>
      </x:c>
      <x:c r="E12" s="65" t="n">
        <x:v>81.2566560170394</x:v>
      </x:c>
    </x:row>
    <x:row r="13">
      <x:c r="A13" s="49" t="str">
        <x:v>alpha_target</x:v>
      </x:c>
      <x:c r="B13" s="59" t="n">
        <x:v>0.05</x:v>
      </x:c>
      <x:c r="C13" s="59" t="n">
        <x:v>84.26414023754982</x:v>
      </x:c>
      <x:c r="D13" s="59" t="n">
        <x:v>0.05147693949258791</x:v>
      </x:c>
      <x:c r="E13" s="65" t="n">
        <x:v>81.64714235001776</x:v>
      </x:c>
    </x:row>
    <x:row r="14">
      <x:c r="A14" s="49" t="str">
        <x:v>alpha_target</x:v>
      </x:c>
      <x:c r="B14" s="59" t="n">
        <x:v>0.1</x:v>
      </x:c>
      <x:c r="C14" s="59" t="n">
        <x:v>84.82113691300793</x:v>
      </x:c>
      <x:c r="D14" s="59" t="n">
        <x:v>0.05693259401301851</x:v>
      </x:c>
      <x:c r="E14" s="65" t="n">
        <x:v>81.96663116790913</x:v>
      </x:c>
    </x:row>
    <x:row r="15">
      <x:c r="A15" s="49" t="str">
        <x:v>class_prior_strength</x:v>
      </x:c>
      <x:c r="B15" s="59" t="n">
        <x:v>0</x:v>
      </x:c>
      <x:c r="C15" s="59" t="n">
        <x:v>83.99180421729113</x:v>
      </x:c>
      <x:c r="D15" s="59" t="n">
        <x:v>0.048482211288181115</x:v>
      </x:c>
      <x:c r="E15" s="65" t="n">
        <x:v>81.2566560170394</x:v>
      </x:c>
    </x:row>
    <x:row r="16">
      <x:c r="A16" s="49" t="str">
        <x:v>class_prior_strength</x:v>
      </x:c>
      <x:c r="B16" s="59" t="n">
        <x:v>0.05</x:v>
      </x:c>
      <x:c r="C16" s="59" t="n">
        <x:v>83.99180421729113</x:v>
      </x:c>
      <x:c r="D16" s="59" t="n">
        <x:v>0.04858793008953608</x:v>
      </x:c>
      <x:c r="E16" s="65" t="n">
        <x:v>81.2566560170394</x:v>
      </x:c>
    </x:row>
    <x:row r="17">
      <x:c r="A17" s="49" t="str">
        <x:v>class_prior_strength</x:v>
      </x:c>
      <x:c r="B17" s="59" t="n">
        <x:v>0.1</x:v>
      </x:c>
      <x:c r="C17" s="59" t="n">
        <x:v>84.02527141943304</x:v>
      </x:c>
      <x:c r="D17" s="59" t="n">
        <x:v>0.04799778926490525</x:v>
      </x:c>
      <x:c r="E17" s="65" t="n">
        <x:v>81.2566560170394</x:v>
      </x:c>
    </x:row>
    <x:row r="18">
      <x:c r="A18" s="49" t="str">
        <x:v>class_prior_strength</x:v>
      </x:c>
      <x:c r="B18" s="59" t="n">
        <x:v>0.2</x:v>
      </x:c>
      <x:c r="C18" s="59" t="n">
        <x:v>84.02527141943304</x:v>
      </x:c>
      <x:c r="D18" s="59" t="n">
        <x:v>0.048293388294271565</x:v>
      </x:c>
      <x:c r="E18" s="65" t="n">
        <x:v>81.2566560170394</x:v>
      </x:c>
    </x:row>
    <x:row r="19">
      <x:c r="A19" s="49" t="str">
        <x:v>confidence_threshold</x:v>
      </x:c>
      <x:c r="B19" s="59" t="n">
        <x:v>0.5</x:v>
      </x:c>
      <x:c r="C19" s="59" t="n">
        <x:v>84.01935495984246</x:v>
      </x:c>
      <x:c r="D19" s="59" t="n">
        <x:v>0.04753805722342008</x:v>
      </x:c>
      <x:c r="E19" s="65" t="n">
        <x:v>81.2566560170394</x:v>
      </x:c>
    </x:row>
    <x:row r="20">
      <x:c r="A20" s="49" t="str">
        <x:v>confidence_threshold</x:v>
      </x:c>
      <x:c r="B20" s="59" t="n">
        <x:v>0.6</x:v>
      </x:c>
      <x:c r="C20" s="59" t="n">
        <x:v>83.98588775770055</x:v>
      </x:c>
      <x:c r="D20" s="59" t="n">
        <x:v>0.04754792618906715</x:v>
      </x:c>
      <x:c r="E20" s="65" t="n">
        <x:v>81.2566560170394</x:v>
      </x:c>
    </x:row>
    <x:row r="21">
      <x:c r="A21" s="49" t="str">
        <x:v>confidence_threshold</x:v>
      </x:c>
      <x:c r="B21" s="59" t="n">
        <x:v>0.7</x:v>
      </x:c>
      <x:c r="C21" s="59" t="n">
        <x:v>84.02527141943304</x:v>
      </x:c>
      <x:c r="D21" s="59" t="n">
        <x:v>0.04799778926490525</x:v>
      </x:c>
      <x:c r="E21" s="65" t="n">
        <x:v>81.2566560170394</x:v>
      </x:c>
    </x:row>
    <x:row r="22">
      <x:c r="A22" s="49" t="str">
        <x:v>confidence_threshold</x:v>
      </x:c>
      <x:c r="B22" s="59" t="n">
        <x:v>0.8</x:v>
      </x:c>
      <x:c r="C22" s="59" t="n">
        <x:v>83.99247413966488</x:v>
      </x:c>
      <x:c r="D22" s="59" t="n">
        <x:v>0.04818498812210017</x:v>
      </x:c>
      <x:c r="E22" s="65" t="n">
        <x:v>81.2566560170394</x:v>
      </x:c>
    </x:row>
    <x:row r="23">
      <x:c r="A23" s="49" t="str">
        <x:v>confidence_threshold</x:v>
      </x:c>
      <x:c r="B23" s="59" t="n">
        <x:v>0.9</x:v>
      </x:c>
      <x:c r="C23" s="59" t="n">
        <x:v>82.19029687715572</x:v>
      </x:c>
      <x:c r="D23" s="59" t="n">
        <x:v>0.05291702788381303</x:v>
      </x:c>
      <x:c r="E23" s="65" t="n">
        <x:v>80.50314465408806</x:v>
      </x:c>
    </x:row>
    <x:row r="24">
      <x:c r="A24" s="49" t="str">
        <x:v>top_k</x:v>
      </x:c>
      <x:c r="B24" s="59" t="n">
        <x:v>1</x:v>
      </x:c>
      <x:c r="C24" s="59" t="n">
        <x:v>84.02527141943304</x:v>
      </x:c>
      <x:c r="D24" s="59" t="n">
        <x:v>0.04799778926490525</x:v>
      </x:c>
      <x:c r="E24" s="65" t="n">
        <x:v>81.2566560170394</x:v>
      </x:c>
    </x:row>
    <x:row r="25">
      <x:c r="A25" s="49" t="str">
        <x:v>top_k</x:v>
      </x:c>
      <x:c r="B25" s="59" t="n">
        <x:v>2</x:v>
      </x:c>
      <x:c r="C25" s="59" t="n">
        <x:v>83.97472476089312</x:v>
      </x:c>
      <x:c r="D25" s="59" t="n">
        <x:v>0.04433268801940748</x:v>
      </x:c>
      <x:c r="E25" s="65" t="n">
        <x:v>81.18565850195243</x:v>
      </x:c>
    </x:row>
    <x:row r="26">
      <x:c r="A26" s="49" t="str">
        <x:v>top_k</x:v>
      </x:c>
      <x:c r="B26" s="59" t="n">
        <x:v>4</x:v>
      </x:c>
      <x:c r="C26" s="59" t="n">
        <x:v>83.93279603971912</x:v>
      </x:c>
      <x:c r="D26" s="59" t="n">
        <x:v>0.04402412477946325</x:v>
      </x:c>
      <x:c r="E26" s="65" t="n">
        <x:v>81.18565850195243</x:v>
      </x:c>
    </x:row>
    <x:row r="27">
      <x:c r="A27" s="52" t="str">
        <x:v>top_k</x:v>
      </x:c>
      <x:c r="B27" s="60" t="n">
        <x:v>8</x:v>
      </x:c>
      <x:c r="C27" s="60" t="n">
        <x:v>83.92096312053796</x:v>
      </x:c>
      <x:c r="D27" s="60" t="n">
        <x:v>0.043550809181539835</x:v>
      </x:c>
      <x:c r="E27" s="66" t="n">
        <x:v>81.18565850195243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3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21" t="str">
        <x:v>Closed-Form Adaptation Efficiency</x:v>
      </x:c>
      <x:c r="B1" s="21"/>
      <x:c r="C1" s="21"/>
      <x:c r="D1" s="21"/>
      <x:c r="E1" s="21"/>
      <x:c r="F1" s="21"/>
      <x:c r="G1" s="21"/>
      <x:c r="H1" s="21"/>
    </x:row>
    <x:row r="2" ht="30" customHeight="1">
      <x:c r="A2" s="23" t="str">
        <x:v>Peak allocation is Python/NumPy host allocation, not CUDA peak memory.</x:v>
      </x:c>
      <x:c r="B2" s="23"/>
      <x:c r="C2" s="23"/>
      <x:c r="D2" s="23"/>
      <x:c r="E2" s="23"/>
      <x:c r="F2" s="23"/>
      <x:c r="G2" s="23"/>
      <x:c r="H2" s="23"/>
    </x:row>
    <x:row r="4" ht="32" customHeight="1">
      <x:c r="A4" s="33" t="str">
        <x:v>Benchmark</x:v>
      </x:c>
      <x:c r="B4" s="34" t="str">
        <x:v>Representative task</x:v>
      </x:c>
      <x:c r="C4" s="34" t="str">
        <x:v>Method</x:v>
      </x:c>
      <x:c r="D4" s="34" t="str">
        <x:v>Median latency (ms)</x:v>
      </x:c>
      <x:c r="E4" s="34" t="str">
        <x:v>P95 latency (ms)</x:v>
      </x:c>
      <x:c r="F4" s="34" t="str">
        <x:v>Peak host allocation (MB)</x:v>
      </x:c>
      <x:c r="G4" s="34" t="str">
        <x:v>Backpropagation</x:v>
      </x:c>
      <x:c r="H4" s="35" t="str">
        <x:v>Trainable parameters</x:v>
      </x:c>
    </x:row>
    <x:row r="5">
      <x:c r="A5" s="46" t="str">
        <x:v>office31</x:v>
      </x:c>
      <x:c r="B5" s="47" t="str">
        <x:v>W2A</x:v>
      </x:c>
      <x:c r="C5" s="47" t="str">
        <x:v>Prompt Ensemble</x:v>
      </x:c>
      <x:c r="D5" s="58" t="n">
        <x:v>11.90719999999995</x:v>
      </x:c>
      <x:c r="E5" s="58" t="n">
        <x:v>13.2042</x:v>
      </x:c>
      <x:c r="F5" s="58" t="n">
        <x:v>11.126298904418944</x:v>
      </x:c>
      <x:c r="G5" s="72" t="b">
        <x:v>0</x:v>
      </x:c>
      <x:c r="H5" s="78" t="n">
        <x:v>0</x:v>
      </x:c>
    </x:row>
    <x:row r="6">
      <x:c r="A6" s="49" t="str">
        <x:v>office31</x:v>
      </x:c>
      <x:c r="B6" s="50" t="str">
        <x:v>W2A</x:v>
      </x:c>
      <x:c r="C6" s="50" t="str">
        <x:v>T3A (protocol-compatible)</x:v>
      </x:c>
      <x:c r="D6" s="59" t="n">
        <x:v>26.60775000000004</x:v>
      </x:c>
      <x:c r="E6" s="59" t="n">
        <x:v>33.593899999999955</x:v>
      </x:c>
      <x:c r="F6" s="59" t="n">
        <x:v>11.189970016479492</x:v>
      </x:c>
      <x:c r="G6" s="73" t="b">
        <x:v>0</x:v>
      </x:c>
      <x:c r="H6" s="79" t="n">
        <x:v>0</x:v>
      </x:c>
    </x:row>
    <x:row r="7">
      <x:c r="A7" s="49" t="str">
        <x:v>office31</x:v>
      </x:c>
      <x:c r="B7" s="50" t="str">
        <x:v>W2A</x:v>
      </x:c>
      <x:c r="C7" s="50" t="str">
        <x:v>Tip-Adapter source cache</x:v>
      </x:c>
      <x:c r="D7" s="59" t="n">
        <x:v>32.5226500000001</x:v>
      </x:c>
      <x:c r="E7" s="59" t="n">
        <x:v>38.38770000000014</x:v>
      </x:c>
      <x:c r="F7" s="59" t="n">
        <x:v>33.233428955078125</x:v>
      </x:c>
      <x:c r="G7" s="73" t="b">
        <x:v>0</x:v>
      </x:c>
      <x:c r="H7" s="79" t="n">
        <x:v>0</x:v>
      </x:c>
    </x:row>
    <x:row r="8">
      <x:c r="A8" s="49" t="str">
        <x:v>office31</x:v>
      </x:c>
      <x:c r="B8" s="50" t="str">
        <x:v>W2A</x:v>
      </x:c>
      <x:c r="C8" s="50" t="str">
        <x:v>Text + Target</x:v>
      </x:c>
      <x:c r="D8" s="59" t="n">
        <x:v>131.17530000000068</x:v>
      </x:c>
      <x:c r="E8" s="59" t="n">
        <x:v>161.03500000000005</x:v>
      </x:c>
      <x:c r="F8" s="59" t="n">
        <x:v>11.641162872314451</x:v>
      </x:c>
      <x:c r="G8" s="73" t="b">
        <x:v>0</x:v>
      </x:c>
      <x:c r="H8" s="79" t="n">
        <x:v>0</x:v>
      </x:c>
    </x:row>
    <x:row r="9">
      <x:c r="A9" s="49" t="str">
        <x:v>office31</x:v>
      </x:c>
      <x:c r="B9" s="50" t="str">
        <x:v>W2A</x:v>
      </x:c>
      <x:c r="C9" s="50" t="str">
        <x:v>SA-TPA</x:v>
      </x:c>
      <x:c r="D9" s="59" t="n">
        <x:v>143.67335000000026</x:v>
      </x:c>
      <x:c r="E9" s="59" t="n">
        <x:v>198.64809999999977</x:v>
      </x:c>
      <x:c r="F9" s="59" t="n">
        <x:v>11.641162872314451</x:v>
      </x:c>
      <x:c r="G9" s="73" t="b">
        <x:v>0</x:v>
      </x:c>
      <x:c r="H9" s="79" t="n">
        <x:v>0</x:v>
      </x:c>
    </x:row>
    <x:row r="10">
      <x:c r="A10" s="49" t="str">
        <x:v>officehome</x:v>
      </x:c>
      <x:c r="B10" s="50" t="str">
        <x:v>C2P</x:v>
      </x:c>
      <x:c r="C10" s="50" t="str">
        <x:v>Prompt Ensemble</x:v>
      </x:c>
      <x:c r="D10" s="59" t="n">
        <x:v>24.44770000000001</x:v>
      </x:c>
      <x:c r="E10" s="59" t="n">
        <x:v>31.12250000000005</x:v>
      </x:c>
      <x:c r="F10" s="59" t="n">
        <x:v>17.598240852355957</x:v>
      </x:c>
      <x:c r="G10" s="73" t="b">
        <x:v>0</x:v>
      </x:c>
      <x:c r="H10" s="79" t="n">
        <x:v>0</x:v>
      </x:c>
    </x:row>
    <x:row r="11">
      <x:c r="A11" s="49" t="str">
        <x:v>officehome</x:v>
      </x:c>
      <x:c r="B11" s="50" t="str">
        <x:v>C2P</x:v>
      </x:c>
      <x:c r="C11" s="50" t="str">
        <x:v>T3A (protocol-compatible)</x:v>
      </x:c>
      <x:c r="D11" s="59" t="n">
        <x:v>54.65760000000009</x:v>
      </x:c>
      <x:c r="E11" s="59" t="n">
        <x:v>61.05650000000007</x:v>
      </x:c>
      <x:c r="F11" s="59" t="n">
        <x:v>17.722808837890625</x:v>
      </x:c>
      <x:c r="G11" s="73" t="b">
        <x:v>0</x:v>
      </x:c>
      <x:c r="H11" s="79" t="n">
        <x:v>0</x:v>
      </x:c>
    </x:row>
    <x:row r="12">
      <x:c r="A12" s="49" t="str">
        <x:v>officehome</x:v>
      </x:c>
      <x:c r="B12" s="50" t="str">
        <x:v>C2P</x:v>
      </x:c>
      <x:c r="C12" s="50" t="str">
        <x:v>Tip-Adapter source cache</x:v>
      </x:c>
      <x:c r="D12" s="59" t="n">
        <x:v>257.5153499999998</x:v>
      </x:c>
      <x:c r="E12" s="59" t="n">
        <x:v>311.02670000000023</x:v>
      </x:c>
      <x:c r="F12" s="59" t="n">
        <x:v>241.37692260742188</x:v>
      </x:c>
      <x:c r="G12" s="73" t="b">
        <x:v>0</x:v>
      </x:c>
      <x:c r="H12" s="79" t="n">
        <x:v>0</x:v>
      </x:c>
    </x:row>
    <x:row r="13">
      <x:c r="A13" s="49" t="str">
        <x:v>officehome</x:v>
      </x:c>
      <x:c r="B13" s="50" t="str">
        <x:v>C2P</x:v>
      </x:c>
      <x:c r="C13" s="50" t="str">
        <x:v>Text + Target</x:v>
      </x:c>
      <x:c r="D13" s="59" t="n">
        <x:v>279.78584999999964</x:v>
      </x:c>
      <x:c r="E13" s="59" t="n">
        <x:v>296.7004000000006</x:v>
      </x:c>
      <x:c r="F13" s="59" t="n">
        <x:v>19.076679229736328</x:v>
      </x:c>
      <x:c r="G13" s="73" t="b">
        <x:v>0</x:v>
      </x:c>
      <x:c r="H13" s="79" t="n">
        <x:v>0</x:v>
      </x:c>
    </x:row>
    <x:row r="14">
      <x:c r="A14" s="52" t="str">
        <x:v>officehome</x:v>
      </x:c>
      <x:c r="B14" s="53" t="str">
        <x:v>C2P</x:v>
      </x:c>
      <x:c r="C14" s="53" t="str">
        <x:v>SA-TPA</x:v>
      </x:c>
      <x:c r="D14" s="60" t="n">
        <x:v>284.3547500000003</x:v>
      </x:c>
      <x:c r="E14" s="60" t="n">
        <x:v>324.58470000000085</x:v>
      </x:c>
      <x:c r="F14" s="60" t="n">
        <x:v>19.076679229736328</x:v>
      </x:c>
      <x:c r="G14" s="74" t="b">
        <x:v>0</x:v>
      </x:c>
      <x:c r="H14" s="80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8" customHeight="1">
      <x:c r="A1" s="21" t="str">
        <x:v>Shared-Target Clustered Bootstrap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 ht="30" customHeight="1">
      <x:c r="A2" s="23" t="str">
        <x:v>Conditional intervals share target-sample indices; cluster intervals additionally resample target domains.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4" ht="32" customHeight="1">
      <x:c r="A4" s="33" t="str">
        <x:v>benchmark</x:v>
      </x:c>
      <x:c r="B4" s="34" t="str">
        <x:v>reference</x:v>
      </x:c>
      <x:c r="C4" s="34" t="str">
        <x:v>comparator</x:v>
      </x:c>
      <x:c r="D4" s="34" t="str">
        <x:v>mean_delta_pp</x:v>
      </x:c>
      <x:c r="E4" s="34" t="str">
        <x:v>conditional_ci_low</x:v>
      </x:c>
      <x:c r="F4" s="34" t="str">
        <x:v>conditional_ci_high</x:v>
      </x:c>
      <x:c r="G4" s="34" t="str">
        <x:v>conditional_p_le_zero</x:v>
      </x:c>
      <x:c r="H4" s="34" t="str">
        <x:v>cluster_ci_low</x:v>
      </x:c>
      <x:c r="I4" s="34" t="str">
        <x:v>cluster_ci_high</x:v>
      </x:c>
      <x:c r="J4" s="34" t="str">
        <x:v>cluster_p_le_zero</x:v>
      </x:c>
      <x:c r="K4" s="35" t="str">
        <x:v>target_domain_clusters</x:v>
      </x:c>
    </x:row>
    <x:row r="5">
      <x:c r="A5" s="46" t="str">
        <x:v>office31</x:v>
      </x:c>
      <x:c r="B5" s="58" t="str">
        <x:v>satpa</x:v>
      </x:c>
      <x:c r="C5" s="47" t="str">
        <x:v>prompt_ensemble</x:v>
      </x:c>
      <x:c r="D5" s="58" t="n">
        <x:v>1.5447563802202542</x:v>
      </x:c>
      <x:c r="E5" s="58" t="n">
        <x:v>0.9495943240821362</x:v>
      </x:c>
      <x:c r="F5" s="58" t="n">
        <x:v>2.1693561747670165</x:v>
      </x:c>
      <x:c r="G5" s="58" t="n">
        <x:v>0</x:v>
      </x:c>
      <x:c r="H5" s="84" t="n">
        <x:v>0.7336410080393155</x:v>
      </x:c>
      <x:c r="I5" s="84" t="n">
        <x:v>2.442104911804199</x:v>
      </x:c>
      <x:c r="J5" s="84" t="n">
        <x:v>0</x:v>
      </x:c>
      <x:c r="K5" s="78" t="n">
        <x:v>3</x:v>
      </x:c>
    </x:row>
    <x:row r="6">
      <x:c r="A6" s="49" t="str">
        <x:v>office31</x:v>
      </x:c>
      <x:c r="B6" s="59" t="str">
        <x:v>satpa</x:v>
      </x:c>
      <x:c r="C6" s="50" t="str">
        <x:v>no_source_anchor</x:v>
      </x:c>
      <x:c r="D6" s="59" t="n">
        <x:v>1.0366100973139207</x:v>
      </x:c>
      <x:c r="E6" s="59" t="n">
        <x:v>0.4941221999625365</x:v>
      </x:c>
      <x:c r="F6" s="59" t="n">
        <x:v>1.5955575245432552</x:v>
      </x:c>
      <x:c r="G6" s="59" t="n">
        <x:v>0</x:v>
      </x:c>
      <x:c r="H6" s="85" t="n">
        <x:v>0.0846463575959205</x:v>
      </x:c>
      <x:c r="I6" s="85" t="n">
        <x:v>1.9497203022241587</x:v>
      </x:c>
      <x:c r="J6" s="85" t="n">
        <x:v>0.0106</x:v>
      </x:c>
      <x:c r="K6" s="79" t="n">
        <x:v>3</x:v>
      </x:c>
    </x:row>
    <x:row r="7">
      <x:c r="A7" s="49" t="str">
        <x:v>office31</x:v>
      </x:c>
      <x:c r="B7" s="59" t="str">
        <x:v>satpa</x:v>
      </x:c>
      <x:c r="C7" s="50" t="str">
        <x:v>t3a</x:v>
      </x:c>
      <x:c r="D7" s="59" t="n">
        <x:v>-0.5863822530955076</x:v>
      </x:c>
      <x:c r="E7" s="59" t="n">
        <x:v>-1.7554702512919904</x:v>
      </x:c>
      <x:c r="F7" s="59" t="n">
        <x:v>0.6015986849864318</x:v>
      </x:c>
      <x:c r="G7" s="59" t="n">
        <x:v>0.8394</x:v>
      </x:c>
      <x:c r="H7" s="85" t="n">
        <x:v>-3.531235999365648</x:v>
      </x:c>
      <x:c r="I7" s="85" t="n">
        <x:v>1.928750252226988</x:v>
      </x:c>
      <x:c r="J7" s="85" t="n">
        <x:v>0.6312</x:v>
      </x:c>
      <x:c r="K7" s="79" t="n">
        <x:v>3</x:v>
      </x:c>
    </x:row>
    <x:row r="8">
      <x:c r="A8" s="49" t="str">
        <x:v>officehome</x:v>
      </x:c>
      <x:c r="B8" s="59" t="str">
        <x:v>satpa</x:v>
      </x:c>
      <x:c r="C8" s="50" t="str">
        <x:v>prompt_ensemble</x:v>
      </x:c>
      <x:c r="D8" s="59" t="n">
        <x:v>0.8213623097011199</x:v>
      </x:c>
      <x:c r="E8" s="59" t="n">
        <x:v>0.5770577947609127</x:v>
      </x:c>
      <x:c r="F8" s="59" t="n">
        <x:v>1.0632038962095975</x:v>
      </x:c>
      <x:c r="G8" s="59" t="n">
        <x:v>0</x:v>
      </x:c>
      <x:c r="H8" s="85" t="n">
        <x:v>0.5086667007766664</x:v>
      </x:c>
      <x:c r="I8" s="85" t="n">
        <x:v>1.124169815704226</x:v>
      </x:c>
      <x:c r="J8" s="85" t="n">
        <x:v>0</x:v>
      </x:c>
      <x:c r="K8" s="79" t="n">
        <x:v>4</x:v>
      </x:c>
    </x:row>
    <x:row r="9">
      <x:c r="A9" s="49" t="str">
        <x:v>officehome</x:v>
      </x:c>
      <x:c r="B9" s="59" t="str">
        <x:v>satpa</x:v>
      </x:c>
      <x:c r="C9" s="50" t="str">
        <x:v>no_source_anchor</x:v>
      </x:c>
      <x:c r="D9" s="59" t="n">
        <x:v>0.4231502282588432</x:v>
      </x:c>
      <x:c r="E9" s="59" t="n">
        <x:v>0.2112569202203303</x:v>
      </x:c>
      <x:c r="F9" s="59" t="n">
        <x:v>0.635822996497154</x:v>
      </x:c>
      <x:c r="G9" s="59" t="n">
        <x:v>0</x:v>
      </x:c>
      <x:c r="H9" s="85" t="n">
        <x:v>0.1263851393217919</x:v>
      </x:c>
      <x:c r="I9" s="85" t="n">
        <x:v>0.7262328291311859</x:v>
      </x:c>
      <x:c r="J9" s="85" t="n">
        <x:v>0.0032</x:v>
      </x:c>
      <x:c r="K9" s="79" t="n">
        <x:v>4</x:v>
      </x:c>
    </x:row>
    <x:row r="10">
      <x:c r="A10" s="52" t="str">
        <x:v>officehome</x:v>
      </x:c>
      <x:c r="B10" s="60" t="str">
        <x:v>satpa</x:v>
      </x:c>
      <x:c r="C10" s="53" t="str">
        <x:v>t3a</x:v>
      </x:c>
      <x:c r="D10" s="60" t="n">
        <x:v>6.7154353484511375</x:v>
      </x:c>
      <x:c r="E10" s="60" t="n">
        <x:v>6.133227133750916</x:v>
      </x:c>
      <x:c r="F10" s="60" t="n">
        <x:v>7.30757917240262</x:v>
      </x:c>
      <x:c r="G10" s="60" t="n">
        <x:v>0</x:v>
      </x:c>
      <x:c r="H10" s="86" t="n">
        <x:v>3.222786039672792</x:v>
      </x:c>
      <x:c r="I10" s="86" t="n">
        <x:v>9.333150580525398</x:v>
      </x:c>
      <x:c r="J10" s="86" t="n">
        <x:v>0</x:v>
      </x:c>
      <x:c r="K10" s="80" t="n">
        <x:v>4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6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</x:cols>
  <x:sheetData>
    <x:row r="1" ht="28" customHeight="1">
      <x:c r="A1" s="87" t="str">
        <x:v>Controlled Extension Decisions</x:v>
      </x:c>
      <x:c r="B1" s="87"/>
      <x:c r="C1" s="87"/>
      <x:c r="D1" s="87"/>
      <x:c r="E1" s="87"/>
      <x:c r="F1" s="87"/>
    </x:row>
    <x:row r="2" ht="30" customHeight="1">
      <x:c r="A2" s="23" t="str">
        <x:v>Scopes differ by preregistered gate; rows must not be interpreted as a single common benchmark table.</x:v>
      </x:c>
      <x:c r="B2" s="23"/>
      <x:c r="C2" s="23"/>
      <x:c r="D2" s="23"/>
      <x:c r="E2" s="23"/>
      <x:c r="F2" s="23"/>
    </x:row>
    <x:row r="4" ht="32" customHeight="1">
      <x:c r="A4" s="33" t="str">
        <x:v>Extension</x:v>
      </x:c>
      <x:c r="B4" s="34" t="str">
        <x:v>Scope</x:v>
      </x:c>
      <x:c r="C4" s="34" t="str">
        <x:v>Reference</x:v>
      </x:c>
      <x:c r="D4" s="34" t="str">
        <x:v>Candidate</x:v>
      </x:c>
      <x:c r="E4" s="34" t="str">
        <x:v>Delta</x:v>
      </x:c>
      <x:c r="F4" s="35" t="str">
        <x:v>Decision</x:v>
      </x:c>
    </x:row>
    <x:row r="5">
      <x:c r="A5" s="46" t="str">
        <x:v>Class-adaptive fusion (best tau=20)</x:v>
      </x:c>
      <x:c r="B5" s="47" t="str">
        <x:v>Office-31, 3 development tasks</x:v>
      </x:c>
      <x:c r="C5" s="58" t="n">
        <x:v>84.06668408115151</x:v>
      </x:c>
      <x:c r="D5" s="58" t="n">
        <x:v>77.22605117625915</x:v>
      </x:c>
      <x:c r="E5" s="58" t="n">
        <x:v>-6.8406329048923595</x:v>
      </x:c>
      <x:c r="F5" s="64" t="str">
        <x:v>Reject</x:v>
      </x:c>
    </x:row>
    <x:row r="6">
      <x:c r="A6" s="49" t="str">
        <x:v>Agreement filtering</x:v>
      </x:c>
      <x:c r="B6" s="50" t="str">
        <x:v>Office-31, 6 tasks</x:v>
      </x:c>
      <x:c r="C6" s="59" t="n">
        <x:v>84.02527141943304</x:v>
      </x:c>
      <x:c r="D6" s="59" t="n">
        <x:v>84.79983792747295</x:v>
      </x:c>
      <x:c r="E6" s="59" t="n">
        <x:v>0.7745665080399107</x:v>
      </x:c>
      <x:c r="F6" s="65" t="str">
        <x:v>Not promoted</x:v>
      </x:c>
    </x:row>
    <x:row r="7">
      <x:c r="A7" s="49" t="str">
        <x:v>Agreement filtering</x:v>
      </x:c>
      <x:c r="B7" s="50" t="str">
        <x:v>Office-Home, 12 tasks</x:v>
      </x:c>
      <x:c r="C7" s="59" t="n">
        <x:v>80.8966574817389</x:v>
      </x:c>
      <x:c r="D7" s="59" t="n">
        <x:v>80.63405913763766</x:v>
      </x:c>
      <x:c r="E7" s="59" t="n">
        <x:v>-0.26259834410123517</x:v>
      </x:c>
      <x:c r="F7" s="65" t="str">
        <x:v>Reject cross-dataset</x:v>
      </x:c>
    </x:row>
    <x:row r="8">
      <x:c r="A8" s="49" t="str">
        <x:v>Iterative update (3 vs 1 rounds)</x:v>
      </x:c>
      <x:c r="B8" s="50" t="str">
        <x:v>Office-31 A2W</x:v>
      </x:c>
      <x:c r="C8" s="59" t="n">
        <x:v>85.66037735849056</x:v>
      </x:c>
      <x:c r="D8" s="59" t="n">
        <x:v>85.66037735849056</x:v>
      </x:c>
      <x:c r="E8" s="59" t="n">
        <x:v>0</x:v>
      </x:c>
      <x:c r="F8" s="65" t="str">
        <x:v>Reject</x:v>
      </x:c>
    </x:row>
    <x:row r="9">
      <x:c r="A9" s="52" t="str">
        <x:v>SPT-SA optimal transport</x:v>
      </x:c>
      <x:c r="B9" s="53" t="str">
        <x:v>Office-31, 3 development tasks</x:v>
      </x:c>
      <x:c r="C9" s="60" t="n">
        <x:v>84.06668408115151</x:v>
      </x:c>
      <x:c r="D9" s="60" t="n">
        <x:v>83.905399160086</x:v>
      </x:c>
      <x:c r="E9" s="60" t="n">
        <x:v>-0.1612849210655014</x:v>
      </x:c>
      <x:c r="F9" s="66" t="str">
        <x:v>Reject at gate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  <x:col min="7" max="7" width="22" hidden="0" customWidth="1"/>
    <x:col min="8" max="8" width="60" hidden="0" customWidth="1"/>
  </x:cols>
  <x:sheetData>
    <x:row r="1" ht="28" customHeight="1">
      <x:c r="A1" s="87" t="str">
        <x:v>Baseline Setting Compatibility</x:v>
      </x:c>
      <x:c r="B1" s="87"/>
      <x:c r="C1" s="87"/>
      <x:c r="D1" s="87"/>
      <x:c r="E1" s="87"/>
      <x:c r="F1" s="87"/>
      <x:c r="G1" s="87"/>
      <x:c r="H1" s="87"/>
    </x:row>
    <x:row r="2" ht="30" customHeight="1">
      <x:c r="A2" s="23" t="str">
        <x:v>DPA/DPE are included for setting comparison only, not as same-protocol accuracy entries.</x:v>
      </x:c>
      <x:c r="B2" s="23"/>
      <x:c r="C2" s="23"/>
      <x:c r="D2" s="23"/>
      <x:c r="E2" s="23"/>
      <x:c r="F2" s="23"/>
      <x:c r="G2" s="23"/>
      <x:c r="H2" s="23"/>
    </x:row>
    <x:row r="4" ht="32" customHeight="1">
      <x:c r="A4" s="33" t="str">
        <x:v>Method</x:v>
      </x:c>
      <x:c r="B4" s="34" t="str">
        <x:v>Source data</x:v>
      </x:c>
      <x:c r="C4" s="34" t="str">
        <x:v>Source labels</x:v>
      </x:c>
      <x:c r="D4" s="34" t="str">
        <x:v>Target labels for adaptation</x:v>
      </x:c>
      <x:c r="E4" s="34" t="str">
        <x:v>Gradient update</x:v>
      </x:c>
      <x:c r="F4" s="34" t="str">
        <x:v>Setting</x:v>
      </x:c>
      <x:c r="G4" s="34" t="str">
        <x:v>Placement</x:v>
      </x:c>
      <x:c r="H4" s="35" t="str">
        <x:v>Qualification</x:v>
      </x:c>
    </x:row>
    <x:row r="5">
      <x:c r="A5" s="46" t="str">
        <x:v>CLIP Zero-Shot</x:v>
      </x:c>
      <x:c r="B5" s="47" t="str">
        <x:v>No</x:v>
      </x:c>
      <x:c r="C5" s="47" t="str">
        <x:v>No</x:v>
      </x:c>
      <x:c r="D5" s="47" t="str">
        <x:v>No</x:v>
      </x:c>
      <x:c r="E5" s="47" t="str">
        <x:v>No</x:v>
      </x:c>
      <x:c r="F5" s="47" t="str">
        <x:v>Frozen inference</x:v>
      </x:c>
      <x:c r="G5" s="47" t="str">
        <x:v>Main table</x:v>
      </x:c>
      <x:c r="H5" s="48" t="str">
        <x:v>Single prompt</x:v>
      </x:c>
    </x:row>
    <x:row r="6">
      <x:c r="A6" s="49" t="str">
        <x:v>Prompt Ensemble</x:v>
      </x:c>
      <x:c r="B6" s="50" t="str">
        <x:v>No</x:v>
      </x:c>
      <x:c r="C6" s="50" t="str">
        <x:v>No</x:v>
      </x:c>
      <x:c r="D6" s="50" t="str">
        <x:v>No</x:v>
      </x:c>
      <x:c r="E6" s="50" t="str">
        <x:v>No</x:v>
      </x:c>
      <x:c r="F6" s="50" t="str">
        <x:v>Frozen inference</x:v>
      </x:c>
      <x:c r="G6" s="50" t="str">
        <x:v>Main table</x:v>
      </x:c>
      <x:c r="H6" s="51" t="str">
        <x:v>Four fixed prompts</x:v>
      </x:c>
    </x:row>
    <x:row r="7">
      <x:c r="A7" s="49" t="str">
        <x:v>Source Prototype</x:v>
      </x:c>
      <x:c r="B7" s="50" t="str">
        <x:v>Yes</x:v>
      </x:c>
      <x:c r="C7" s="50" t="str">
        <x:v>Yes</x:v>
      </x:c>
      <x:c r="D7" s="50" t="str">
        <x:v>No</x:v>
      </x:c>
      <x:c r="E7" s="50" t="str">
        <x:v>No</x:v>
      </x:c>
      <x:c r="F7" s="50" t="str">
        <x:v>Source-available UDA</x:v>
      </x:c>
      <x:c r="G7" s="50" t="str">
        <x:v>Main table</x:v>
      </x:c>
      <x:c r="H7" s="51" t="str">
        <x:v>Closed-form visual prototypes</x:v>
      </x:c>
    </x:row>
    <x:row r="8">
      <x:c r="A8" s="49" t="str">
        <x:v>T3A</x:v>
      </x:c>
      <x:c r="B8" s="50" t="str">
        <x:v>No</x:v>
      </x:c>
      <x:c r="C8" s="50" t="str">
        <x:v>No</x:v>
      </x:c>
      <x:c r="D8" s="50" t="str">
        <x:v>No</x:v>
      </x:c>
      <x:c r="E8" s="50" t="str">
        <x:v>No</x:v>
      </x:c>
      <x:c r="F8" s="50" t="str">
        <x:v>Protocol-compatible batch adaptation</x:v>
      </x:c>
      <x:c r="G8" s="50" t="str">
        <x:v>Main table</x:v>
      </x:c>
      <x:c r="H8" s="51" t="str">
        <x:v>Project implementation; not official reproduction</x:v>
      </x:c>
    </x:row>
    <x:row r="9">
      <x:c r="A9" s="49" t="str">
        <x:v>Tip-Adapter source cache</x:v>
      </x:c>
      <x:c r="B9" s="50" t="str">
        <x:v>Yes</x:v>
      </x:c>
      <x:c r="C9" s="50" t="str">
        <x:v>Yes</x:v>
      </x:c>
      <x:c r="D9" s="50" t="str">
        <x:v>No</x:v>
      </x:c>
      <x:c r="E9" s="50" t="str">
        <x:v>No</x:v>
      </x:c>
      <x:c r="F9" s="50" t="str">
        <x:v>Protocol-compatible source cache</x:v>
      </x:c>
      <x:c r="G9" s="50" t="str">
        <x:v>Main table</x:v>
      </x:c>
      <x:c r="H9" s="51" t="str">
        <x:v>Project implementation; not official reproduction</x:v>
      </x:c>
    </x:row>
    <x:row r="10">
      <x:c r="A10" s="49" t="str">
        <x:v>SA-TPA</x:v>
      </x:c>
      <x:c r="B10" s="50" t="str">
        <x:v>Yes</x:v>
      </x:c>
      <x:c r="C10" s="50" t="str">
        <x:v>Yes</x:v>
      </x:c>
      <x:c r="D10" s="50" t="str">
        <x:v>No</x:v>
      </x:c>
      <x:c r="E10" s="50" t="str">
        <x:v>No</x:v>
      </x:c>
      <x:c r="F10" s="50" t="str">
        <x:v>Source-available UDA</x:v>
      </x:c>
      <x:c r="G10" s="50" t="str">
        <x:v>Main table</x:v>
      </x:c>
      <x:c r="H10" s="51" t="str">
        <x:v>Fixed tri-prototype fusion</x:v>
      </x:c>
    </x:row>
    <x:row r="11">
      <x:c r="A11" s="49" t="str">
        <x:v>DPA</x:v>
      </x:c>
      <x:c r="B11" s="50" t="str">
        <x:v>No</x:v>
      </x:c>
      <x:c r="C11" s="50" t="str">
        <x:v>No</x:v>
      </x:c>
      <x:c r="D11" s="50" t="str">
        <x:v>No</x:v>
      </x:c>
      <x:c r="E11" s="50" t="str">
        <x:v>Yes</x:v>
      </x:c>
      <x:c r="F11" s="50" t="str">
        <x:v>Source-free adaptation</x:v>
      </x:c>
      <x:c r="G11" s="50" t="str">
        <x:v>Setting comparison</x:v>
      </x:c>
      <x:c r="H11" s="51" t="str">
        <x:v>Official code lacks Office configs and reports best target-test epoch</x:v>
      </x:c>
    </x:row>
    <x:row r="12">
      <x:c r="A12" s="52" t="str">
        <x:v>DPE</x:v>
      </x:c>
      <x:c r="B12" s="53" t="str">
        <x:v>No</x:v>
      </x:c>
      <x:c r="C12" s="53" t="str">
        <x:v>No</x:v>
      </x:c>
      <x:c r="D12" s="53" t="str">
        <x:v>No</x:v>
      </x:c>
      <x:c r="E12" s="53" t="str">
        <x:v>Yes</x:v>
      </x:c>
      <x:c r="F12" s="53" t="str">
        <x:v>Online TTA</x:v>
      </x:c>
      <x:c r="G12" s="53" t="str">
        <x:v>Setting comparison</x:v>
      </x:c>
      <x:c r="H12" s="54" t="str">
        <x:v>Optimizes prototype residuals; different protocol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70" hidden="0" customWidth="1"/>
    <x:col min="4" max="4" width="38" hidden="0" customWidth="1"/>
  </x:cols>
  <x:sheetData>
    <x:row r="1">
      <x:c r="A1" s="19" t="str">
        <x:v>Evidence and Source Index</x:v>
      </x:c>
      <x:c r="B1" s="19"/>
      <x:c r="C1" s="19"/>
      <x:c r="D1" s="19"/>
    </x:row>
    <x:row r="3">
      <x:c r="A3" s="14" t="str">
        <x:v>Asset</x:v>
      </x:c>
      <x:c r="B3" s="14" t="str">
        <x:v>Role</x:v>
      </x:c>
      <x:c r="C3" s="14" t="str">
        <x:v>Location</x:v>
      </x:c>
      <x:c r="D3" s="14" t="str">
        <x:v>Qualification</x:v>
      </x:c>
    </x:row>
    <x:row r="4">
      <x:c r="A4" s="89" t="str">
        <x:v>Office-31 main</x:v>
      </x:c>
      <x:c r="B4" s="89" t="str">
        <x:v>Frozen result</x:v>
      </x:c>
      <x:c r="C4" s="89" t="str">
        <x:v>D:/456/results/office31/development_v2.csv</x:v>
      </x:c>
      <x:c r="D4" s="89" t="str">
        <x:v>ViT-B/32, six tasks</x:v>
      </x:c>
    </x:row>
    <x:row r="5">
      <x:c r="A5" s="89" t="str">
        <x:v>Office-Home main</x:v>
      </x:c>
      <x:c r="B5" s="89" t="str">
        <x:v>Frozen result</x:v>
      </x:c>
      <x:c r="C5" s="89" t="str">
        <x:v>D:/456/results/officehome/confirmatory_v1.csv</x:v>
      </x:c>
      <x:c r="D5" s="89" t="str">
        <x:v>ViT-B/32, twelve tasks</x:v>
      </x:c>
    </x:row>
    <x:row r="6">
      <x:c r="A6" s="89" t="str">
        <x:v>ViT-B/16</x:v>
      </x:c>
      <x:c r="B6" s="89" t="str">
        <x:v>Kaggle extension</x:v>
      </x:c>
      <x:c r="C6" s="89" t="str">
        <x:v>D:/456/results/vitb16/vitb16_summary.csv</x:v>
      </x:c>
      <x:c r="D6" s="89" t="str">
        <x:v>Completed Kaggle version 5</x:v>
      </x:c>
    </x:row>
    <x:row r="7">
      <x:c r="A7" s="89" t="str">
        <x:v>Bootstrap</x:v>
      </x:c>
      <x:c r="B7" s="89" t="str">
        <x:v>Statistical audit</x:v>
      </x:c>
      <x:c r="C7" s="89" t="str">
        <x:v>D:/456/results/robustness/clustered_bootstrap/clustered_bootstrap_summary.csv</x:v>
      </x:c>
      <x:c r="D7" s="89" t="str">
        <x:v>Shared-target corrected</x:v>
      </x:c>
    </x:row>
    <x:row r="8">
      <x:c r="A8" s="89" t="str">
        <x:v>Freeze manifest</x:v>
      </x:c>
      <x:c r="B8" s="89" t="str">
        <x:v>Integrity</x:v>
      </x:c>
      <x:c r="C8" s="89" t="str">
        <x:v>D:/456/project/docs/experiment_freeze_manifest.md</x:v>
      </x:c>
      <x:c r="D8" s="89" t="str">
        <x:v>Tag experiments-final-v1</x:v>
      </x:c>
    </x:row>
    <x:row r="9">
      <x:c r="A9" s="89" t="str">
        <x:v>Data replica audit</x:v>
      </x:c>
      <x:c r="B9" s="89" t="str">
        <x:v>Data audit</x:v>
      </x:c>
      <x:c r="C9" s="89" t="str">
        <x:v>D:/456/project/docs/data_replica_audit.md</x:v>
      </x:c>
      <x:c r="D9" s="89" t="str">
        <x:v>Raw-image byte identity not asserted</x:v>
      </x:c>
    </x:row>
    <x:row r="10">
      <x:c r="A10" s="89" t="str">
        <x:v>Claims evidence index</x:v>
      </x:c>
      <x:c r="B10" s="89" t="str">
        <x:v>Claim traceability</x:v>
      </x:c>
      <x:c r="C10" s="89" t="str">
        <x:v>D:/456/project/docs/claims_evidence_index.md</x:v>
      </x:c>
      <x:c r="D10" s="89" t="str">
        <x:v>Each allowed claim mapped to frozen evidence</x:v>
      </x:c>
    </x:row>
    <x:row r="11">
      <x:c r="A11" s="89" t="str">
        <x:v>DPA</x:v>
      </x:c>
      <x:c r="B11" s="89" t="str">
        <x:v>Official competitor</x:v>
      </x:c>
      <x:c r="C11" s="89" t="str">
        <x:v>https://openaccess.thecvf.com/content/WACV2025/html/Ali_DPA_Dual_Prototypes_Alignment_for_Unsupervised_Adaptation_of_Vision-Language_Models_WACV_2025_paper.html</x:v>
      </x:c>
      <x:c r="D11" s="89" t="str">
        <x:v>Different source-free, gradient-based setting</x:v>
      </x:c>
    </x:row>
    <x:row r="12">
      <x:c r="A12" s="89" t="str">
        <x:v>DPE</x:v>
      </x:c>
      <x:c r="B12" s="89" t="str">
        <x:v>Official competitor</x:v>
      </x:c>
      <x:c r="C12" s="89" t="str">
        <x:v>https://github.com/zhangce01/DPE-CLIP</x:v>
      </x:c>
      <x:c r="D12" s="89" t="str">
        <x:v>Online TTA; different protocol</x:v>
      </x:c>
    </x:row>
  </x:sheetData>
  <x:mergeCells>
    <x:mergeCell ref="A1:D1"/>
  </x:mergeCells>
  <x:pageMargins left="0.7" right="0.7" top="0.75" bottom="0.75" header="0.3" footer="0.3"/>
</x:worksheet>
</file>